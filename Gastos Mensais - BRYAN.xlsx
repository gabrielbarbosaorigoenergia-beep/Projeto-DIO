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briel.barbosa\Downloads\"/>
    </mc:Choice>
  </mc:AlternateContent>
  <xr:revisionPtr revIDLastSave="0" documentId="8_{7EF7E51F-38E8-429C-986C-9DE07214CE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Contas Fixas" sheetId="4" r:id="rId2"/>
    <sheet name="Meu Mês" sheetId="2" r:id="rId3"/>
    <sheet name="Planilha1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4" l="1"/>
  <c r="F13" i="4"/>
  <c r="H9" i="4"/>
  <c r="F13" i="2"/>
  <c r="H9" i="2"/>
  <c r="H13" i="2" s="1"/>
  <c r="E6" i="1" s="1"/>
  <c r="C28" i="1"/>
  <c r="C27" i="1"/>
  <c r="C26" i="1"/>
  <c r="C22" i="1"/>
  <c r="C21" i="1"/>
  <c r="C20" i="1"/>
  <c r="C19" i="1"/>
  <c r="D19" i="1" s="1"/>
  <c r="C18" i="1"/>
  <c r="D18" i="1" s="1"/>
  <c r="C17" i="1"/>
  <c r="C16" i="1"/>
  <c r="C15" i="1"/>
  <c r="C14" i="1"/>
  <c r="D14" i="1" s="1"/>
  <c r="C13" i="1"/>
  <c r="C12" i="1"/>
  <c r="C11" i="1"/>
  <c r="B3" i="1"/>
  <c r="H13" i="4" l="1"/>
  <c r="E13" i="4"/>
  <c r="D12" i="1"/>
  <c r="D20" i="1"/>
  <c r="D22" i="1"/>
  <c r="D15" i="1"/>
  <c r="D16" i="1"/>
  <c r="E13" i="2"/>
  <c r="C23" i="1"/>
  <c r="G13" i="2"/>
  <c r="D6" i="1" s="1"/>
  <c r="C6" i="1"/>
  <c r="D11" i="1"/>
  <c r="D13" i="1"/>
  <c r="D17" i="1"/>
  <c r="D21" i="1"/>
  <c r="B6" i="1" l="1"/>
  <c r="G6" i="1"/>
  <c r="F6" i="1"/>
  <c r="B30" i="1"/>
  <c r="D23" i="1"/>
</calcChain>
</file>

<file path=xl/sharedStrings.xml><?xml version="1.0" encoding="utf-8"?>
<sst xmlns="http://schemas.openxmlformats.org/spreadsheetml/2006/main" count="209" uniqueCount="67">
  <si>
    <t>📊 PAINEL DO MÊS  GABRIEL &amp; BEATRIZ</t>
  </si>
  <si>
    <t>💰 QUANTO TEMOS</t>
  </si>
  <si>
    <t>🧾 JÁ GASTAMOS</t>
  </si>
  <si>
    <t>🏦 VAI SOBRAR</t>
  </si>
  <si>
    <t>📅 POR DIA*</t>
  </si>
  <si>
    <t>💸 % GASTO</t>
  </si>
  <si>
    <t>🛟 % LIVRE</t>
  </si>
  <si>
    <t>* por dia = o que vai sobrar ÷ dias que faltam até o fim do mês</t>
  </si>
  <si>
    <t>🏷️ GASTOS POR CATEGORIA</t>
  </si>
  <si>
    <t>Categoria</t>
  </si>
  <si>
    <t>Gasto (R$)</t>
  </si>
  <si>
    <t>% do total</t>
  </si>
  <si>
    <t>Moradia</t>
  </si>
  <si>
    <t>Alimentação</t>
  </si>
  <si>
    <t>Transporte</t>
  </si>
  <si>
    <t>Saúde</t>
  </si>
  <si>
    <t>Lazer</t>
  </si>
  <si>
    <t>Educação</t>
  </si>
  <si>
    <t>Contas (luz/água/internet)</t>
  </si>
  <si>
    <t>Mercado</t>
  </si>
  <si>
    <t>Assinaturas</t>
  </si>
  <si>
    <t>Filhos/Pets</t>
  </si>
  <si>
    <t>Vestuário</t>
  </si>
  <si>
    <t>Outros</t>
  </si>
  <si>
    <t>TOTAL</t>
  </si>
  <si>
    <t>🙋 GASTOS POR PESSOA</t>
  </si>
  <si>
    <t>Gabriel</t>
  </si>
  <si>
    <t>Beatriz</t>
  </si>
  <si>
    <t>Os dois</t>
  </si>
  <si>
    <t>GASTOS DO MÊS  GABRIEL &amp; BEATRIZ</t>
  </si>
  <si>
    <t>Mês:</t>
  </si>
  <si>
    <t>(troque a data para outro mês, ex.: 01/10/2026)</t>
  </si>
  <si>
    <t>💰 QUANTO TEMOS — preencha aqui as entradas</t>
  </si>
  <si>
    <t>Salário Gabriel</t>
  </si>
  <si>
    <t>Salário Beatriz</t>
  </si>
  <si>
    <t>Freelance / renda extra (preencha se houver)</t>
  </si>
  <si>
    <t>TOTAL QUE TEMOS NO MÊS</t>
  </si>
  <si>
    <t>📊 RESUMO - atualiza sozinho</t>
  </si>
  <si>
    <t>QUANTO TEMOS</t>
  </si>
  <si>
    <t>JÁ GASTAMOS</t>
  </si>
  <si>
    <t>VAI SOBRAR</t>
  </si>
  <si>
    <t>PODEMOS GASTAR POR DIA*</t>
  </si>
  <si>
    <t>* valor por dia = o que vai sobrar ÷ dias que faltam até o fim do mês</t>
  </si>
  <si>
    <t>🧾 GASTOS: anote cada gasto numa linha (data, descrição, categoria, quem pagou, valor)</t>
  </si>
  <si>
    <t>Data</t>
  </si>
  <si>
    <t>Valor (R$)</t>
  </si>
  <si>
    <t>Quem pagou</t>
  </si>
  <si>
    <t>Descrição</t>
  </si>
  <si>
    <t>Aluguel</t>
  </si>
  <si>
    <t>Luz</t>
  </si>
  <si>
    <t>Água</t>
  </si>
  <si>
    <t>Carro</t>
  </si>
  <si>
    <t>Gasolina</t>
  </si>
  <si>
    <t>Compras</t>
  </si>
  <si>
    <t>Mercado(VR + DINHEIRO)</t>
  </si>
  <si>
    <t>Faculdades</t>
  </si>
  <si>
    <t>Cartão</t>
  </si>
  <si>
    <t>Cartões em geral</t>
  </si>
  <si>
    <t>Roupas / Acessórios</t>
  </si>
  <si>
    <t>Internet móvel + tv + internet fixa</t>
  </si>
  <si>
    <t>Manutenção Carro</t>
  </si>
  <si>
    <t xml:space="preserve">Academia </t>
  </si>
  <si>
    <t>Remédios</t>
  </si>
  <si>
    <t>IFood, saída etc...</t>
  </si>
  <si>
    <t>Beleza</t>
  </si>
  <si>
    <t>Corte de cabelo, unhas, dep...</t>
  </si>
  <si>
    <t>ESTIMATIVAS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</si>
</sst>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/yyyy"/>
    <numFmt numFmtId="165" formatCode="\R\$\ #,##0.00"/>
    <numFmt numFmtId="166" formatCode="dd/mm"/>
    <numFmt numFmtId="167" formatCode="0.0%"/>
  </numFmts>
  <fonts count="29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1"/>
      <name val="Arial"/>
      <family val="2"/>
    </font>
    <font>
      <b/>
      <sz val="11"/>
      <color rgb="FF2E75B6"/>
      <name val="Arial"/>
      <family val="2"/>
    </font>
    <font>
      <i/>
      <sz val="9"/>
      <color rgb="FF595959"/>
      <name val="Arial"/>
      <family val="2"/>
    </font>
    <font>
      <b/>
      <sz val="13"/>
      <color rgb="FFFFFFFF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b/>
      <sz val="12"/>
      <color rgb="FF548235"/>
      <name val="Arial"/>
      <family val="2"/>
    </font>
    <font>
      <b/>
      <sz val="10"/>
      <color rgb="FFFFFFFF"/>
      <name val="Arial"/>
      <family val="2"/>
    </font>
    <font>
      <b/>
      <sz val="16"/>
      <color rgb="FF2E75B6"/>
      <name val="Arial"/>
      <family val="2"/>
    </font>
    <font>
      <b/>
      <sz val="16"/>
      <color rgb="FFC00000"/>
      <name val="Arial"/>
      <family val="2"/>
    </font>
    <font>
      <b/>
      <sz val="16"/>
      <color rgb="FF548235"/>
      <name val="Arial"/>
      <family val="2"/>
    </font>
    <font>
      <b/>
      <sz val="16"/>
      <color rgb="FFED7D31"/>
      <name val="Arial"/>
      <family val="2"/>
    </font>
    <font>
      <b/>
      <sz val="11"/>
      <color rgb="FFFFFFFF"/>
      <name val="Arial"/>
      <family val="2"/>
    </font>
    <font>
      <i/>
      <sz val="10"/>
      <color rgb="FF555555"/>
      <name val="Arial"/>
      <family val="2"/>
    </font>
    <font>
      <b/>
      <sz val="18"/>
      <color rgb="FF2E9E5B"/>
      <name val="Arial"/>
      <family val="2"/>
    </font>
    <font>
      <b/>
      <sz val="18"/>
      <color rgb="FFE05252"/>
      <name val="Arial"/>
      <family val="2"/>
    </font>
    <font>
      <b/>
      <sz val="18"/>
      <color rgb="FF3B7DD8"/>
      <name val="Arial"/>
      <family val="2"/>
    </font>
    <font>
      <b/>
      <sz val="18"/>
      <color rgb="FF8E5BB5"/>
      <name val="Arial"/>
      <family val="2"/>
    </font>
    <font>
      <b/>
      <sz val="18"/>
      <color rgb="FFEE8B3A"/>
      <name val="Arial"/>
      <family val="2"/>
    </font>
    <font>
      <b/>
      <sz val="18"/>
      <color rgb="FF2AA5A0"/>
      <name val="Arial"/>
      <family val="2"/>
    </font>
    <font>
      <i/>
      <sz val="9"/>
      <color rgb="FF777777"/>
      <name val="Arial"/>
      <family val="2"/>
    </font>
    <font>
      <b/>
      <sz val="10"/>
      <color rgb="FF44444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1F2A44"/>
      <name val="Arial"/>
      <family val="2"/>
    </font>
    <font>
      <b/>
      <sz val="15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595959"/>
      </patternFill>
    </fill>
    <fill>
      <patternFill patternType="solid">
        <fgColor rgb="FFDEEBF7"/>
      </patternFill>
    </fill>
    <fill>
      <patternFill patternType="solid">
        <fgColor rgb="FFC00000"/>
      </patternFill>
    </fill>
    <fill>
      <patternFill patternType="solid">
        <fgColor rgb="FFFCE4E4"/>
      </patternFill>
    </fill>
    <fill>
      <patternFill patternType="solid">
        <fgColor rgb="FFED7D31"/>
      </patternFill>
    </fill>
    <fill>
      <patternFill patternType="solid">
        <fgColor rgb="FFFBE5D6"/>
      </patternFill>
    </fill>
    <fill>
      <patternFill patternType="solid">
        <fgColor rgb="FFF2F2F2"/>
      </patternFill>
    </fill>
    <fill>
      <patternFill patternType="solid">
        <fgColor rgb="FF1F2A44"/>
      </patternFill>
    </fill>
    <fill>
      <patternFill patternType="solid">
        <fgColor rgb="FF2E9E5B"/>
      </patternFill>
    </fill>
    <fill>
      <patternFill patternType="solid">
        <fgColor rgb="FFE7F5EC"/>
      </patternFill>
    </fill>
    <fill>
      <patternFill patternType="solid">
        <fgColor rgb="FFE05252"/>
      </patternFill>
    </fill>
    <fill>
      <patternFill patternType="solid">
        <fgColor rgb="FFFBEAEA"/>
      </patternFill>
    </fill>
    <fill>
      <patternFill patternType="solid">
        <fgColor rgb="FF3B7DD8"/>
      </patternFill>
    </fill>
    <fill>
      <patternFill patternType="solid">
        <fgColor rgb="FFE9F1FB"/>
      </patternFill>
    </fill>
    <fill>
      <patternFill patternType="solid">
        <fgColor rgb="FF8E5BB5"/>
      </patternFill>
    </fill>
    <fill>
      <patternFill patternType="solid">
        <fgColor rgb="FFF1EAF8"/>
      </patternFill>
    </fill>
    <fill>
      <patternFill patternType="solid">
        <fgColor rgb="FFEE8B3A"/>
      </patternFill>
    </fill>
    <fill>
      <patternFill patternType="solid">
        <fgColor rgb="FFFDF0E4"/>
      </patternFill>
    </fill>
    <fill>
      <patternFill patternType="solid">
        <fgColor rgb="FF2AA5A0"/>
      </patternFill>
    </fill>
    <fill>
      <patternFill patternType="solid">
        <fgColor rgb="FFE4F5F4"/>
      </patternFill>
    </fill>
    <fill>
      <patternFill patternType="solid">
        <fgColor rgb="FFEDEFF3"/>
      </patternFill>
    </fill>
    <fill>
      <patternFill patternType="solid">
        <fgColor rgb="FFF7F8FA"/>
      </patternFill>
    </fill>
    <fill>
      <patternFill patternType="solid">
        <fgColor rgb="FFFFF6D9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9E5B"/>
      </left>
      <right style="thin">
        <color rgb="FF2E9E5B"/>
      </right>
      <top style="thin">
        <color rgb="FF2E9E5B"/>
      </top>
      <bottom style="thin">
        <color rgb="FF2E9E5B"/>
      </bottom>
      <diagonal/>
    </border>
    <border>
      <left style="thin">
        <color rgb="FFE05252"/>
      </left>
      <right style="thin">
        <color rgb="FFE05252"/>
      </right>
      <top style="thin">
        <color rgb="FFE05252"/>
      </top>
      <bottom style="thin">
        <color rgb="FFE05252"/>
      </bottom>
      <diagonal/>
    </border>
    <border>
      <left style="thin">
        <color rgb="FF3B7DD8"/>
      </left>
      <right style="thin">
        <color rgb="FF3B7DD8"/>
      </right>
      <top style="thin">
        <color rgb="FF3B7DD8"/>
      </top>
      <bottom style="thin">
        <color rgb="FF3B7DD8"/>
      </bottom>
      <diagonal/>
    </border>
    <border>
      <left style="thin">
        <color rgb="FF8E5BB5"/>
      </left>
      <right style="thin">
        <color rgb="FF8E5BB5"/>
      </right>
      <top style="thin">
        <color rgb="FF8E5BB5"/>
      </top>
      <bottom style="thin">
        <color rgb="FF8E5BB5"/>
      </bottom>
      <diagonal/>
    </border>
    <border>
      <left style="thin">
        <color rgb="FFEE8B3A"/>
      </left>
      <right style="thin">
        <color rgb="FFEE8B3A"/>
      </right>
      <top style="thin">
        <color rgb="FFEE8B3A"/>
      </top>
      <bottom style="thin">
        <color rgb="FFEE8B3A"/>
      </bottom>
      <diagonal/>
    </border>
    <border>
      <left style="thin">
        <color rgb="FF2AA5A0"/>
      </left>
      <right style="thin">
        <color rgb="FF2AA5A0"/>
      </right>
      <top style="thin">
        <color rgb="FF2AA5A0"/>
      </top>
      <bottom style="thin">
        <color rgb="FF2AA5A0"/>
      </bottom>
      <diagonal/>
    </border>
    <border>
      <left/>
      <right/>
      <top/>
      <bottom style="hair">
        <color rgb="FFCCCCCC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7" fillId="0" borderId="9" applyNumberFormat="0" applyFill="0" applyAlignment="0" applyProtection="0"/>
  </cellStyleXfs>
  <cellXfs count="62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65" fontId="7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165" fontId="8" fillId="4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165" fontId="10" fillId="6" borderId="0" xfId="0" applyNumberFormat="1" applyFont="1" applyFill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165" fontId="13" fillId="10" borderId="0" xfId="0" applyNumberFormat="1" applyFont="1" applyFill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6" fontId="6" fillId="11" borderId="1" xfId="0" applyNumberFormat="1" applyFont="1" applyFill="1" applyBorder="1"/>
    <xf numFmtId="165" fontId="6" fillId="11" borderId="1" xfId="0" applyNumberFormat="1" applyFont="1" applyFill="1" applyBorder="1"/>
    <xf numFmtId="0" fontId="6" fillId="11" borderId="1" xfId="0" applyFont="1" applyFill="1" applyBorder="1"/>
    <xf numFmtId="166" fontId="6" fillId="0" borderId="1" xfId="0" applyNumberFormat="1" applyFont="1" applyBorder="1"/>
    <xf numFmtId="165" fontId="6" fillId="0" borderId="1" xfId="0" applyNumberFormat="1" applyFont="1" applyBorder="1"/>
    <xf numFmtId="0" fontId="6" fillId="0" borderId="1" xfId="0" applyFont="1" applyBorder="1"/>
    <xf numFmtId="0" fontId="9" fillId="13" borderId="2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7" borderId="4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9" fillId="21" borderId="6" xfId="0" applyFont="1" applyFill="1" applyBorder="1" applyAlignment="1">
      <alignment horizontal="center" vertical="center" wrapText="1"/>
    </xf>
    <xf numFmtId="0" fontId="9" fillId="23" borderId="7" xfId="0" applyFont="1" applyFill="1" applyBorder="1" applyAlignment="1">
      <alignment horizontal="center" vertical="center" wrapText="1"/>
    </xf>
    <xf numFmtId="165" fontId="16" fillId="14" borderId="2" xfId="0" applyNumberFormat="1" applyFont="1" applyFill="1" applyBorder="1" applyAlignment="1">
      <alignment horizontal="center" vertical="center" wrapText="1"/>
    </xf>
    <xf numFmtId="165" fontId="17" fillId="16" borderId="3" xfId="0" applyNumberFormat="1" applyFont="1" applyFill="1" applyBorder="1" applyAlignment="1">
      <alignment horizontal="center" vertical="center" wrapText="1"/>
    </xf>
    <xf numFmtId="165" fontId="18" fillId="18" borderId="4" xfId="0" applyNumberFormat="1" applyFont="1" applyFill="1" applyBorder="1" applyAlignment="1">
      <alignment horizontal="center" vertical="center" wrapText="1"/>
    </xf>
    <xf numFmtId="165" fontId="19" fillId="20" borderId="5" xfId="0" applyNumberFormat="1" applyFont="1" applyFill="1" applyBorder="1" applyAlignment="1">
      <alignment horizontal="center" vertical="center" wrapText="1"/>
    </xf>
    <xf numFmtId="167" fontId="20" fillId="22" borderId="6" xfId="0" applyNumberFormat="1" applyFont="1" applyFill="1" applyBorder="1" applyAlignment="1">
      <alignment horizontal="center" vertical="center" wrapText="1"/>
    </xf>
    <xf numFmtId="167" fontId="21" fillId="24" borderId="7" xfId="0" applyNumberFormat="1" applyFont="1" applyFill="1" applyBorder="1" applyAlignment="1">
      <alignment horizontal="center" vertical="center" wrapText="1"/>
    </xf>
    <xf numFmtId="0" fontId="23" fillId="25" borderId="0" xfId="0" applyFont="1" applyFill="1" applyAlignment="1">
      <alignment horizontal="center" vertical="center" wrapText="1"/>
    </xf>
    <xf numFmtId="0" fontId="24" fillId="26" borderId="8" xfId="0" applyFont="1" applyFill="1" applyBorder="1"/>
    <xf numFmtId="165" fontId="0" fillId="26" borderId="8" xfId="0" applyNumberFormat="1" applyFill="1" applyBorder="1"/>
    <xf numFmtId="167" fontId="0" fillId="26" borderId="8" xfId="0" applyNumberFormat="1" applyFill="1" applyBorder="1"/>
    <xf numFmtId="0" fontId="24" fillId="0" borderId="8" xfId="0" applyFont="1" applyBorder="1"/>
    <xf numFmtId="165" fontId="0" fillId="0" borderId="8" xfId="0" applyNumberFormat="1" applyBorder="1"/>
    <xf numFmtId="167" fontId="0" fillId="0" borderId="8" xfId="0" applyNumberFormat="1" applyBorder="1"/>
    <xf numFmtId="0" fontId="25" fillId="25" borderId="0" xfId="0" applyFont="1" applyFill="1"/>
    <xf numFmtId="165" fontId="25" fillId="25" borderId="0" xfId="0" applyNumberFormat="1" applyFont="1" applyFill="1"/>
    <xf numFmtId="167" fontId="25" fillId="25" borderId="0" xfId="0" applyNumberFormat="1" applyFont="1" applyFill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left" vertical="center" indent="1"/>
    </xf>
    <xf numFmtId="0" fontId="4" fillId="0" borderId="0" xfId="0" applyFont="1"/>
    <xf numFmtId="0" fontId="6" fillId="4" borderId="0" xfId="0" applyFont="1" applyFill="1" applyAlignment="1">
      <alignment vertical="center" indent="1"/>
    </xf>
    <xf numFmtId="0" fontId="5" fillId="7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2" fillId="4" borderId="0" xfId="0" applyFont="1" applyFill="1" applyAlignment="1">
      <alignment vertical="center" indent="1"/>
    </xf>
    <xf numFmtId="0" fontId="5" fillId="12" borderId="0" xfId="0" applyFont="1" applyFill="1" applyAlignment="1">
      <alignment horizontal="center" vertical="center" wrapText="1"/>
    </xf>
    <xf numFmtId="0" fontId="0" fillId="12" borderId="0" xfId="0" applyFill="1"/>
    <xf numFmtId="0" fontId="26" fillId="27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22" fillId="0" borderId="0" xfId="0" applyFont="1"/>
    <xf numFmtId="0" fontId="15" fillId="0" borderId="0" xfId="0" applyFont="1" applyAlignment="1">
      <alignment horizontal="center" vertical="center" wrapText="1"/>
    </xf>
    <xf numFmtId="0" fontId="28" fillId="0" borderId="0" xfId="1" applyFont="1" applyBorder="1"/>
    <xf numFmtId="0" fontId="0" fillId="0" borderId="0" xfId="0" applyBorder="1"/>
    <xf numFmtId="165" fontId="6" fillId="28" borderId="0" xfId="0" applyNumberFormat="1" applyFont="1" applyFill="1" applyBorder="1"/>
  </cellXfs>
  <cellStyles count="2">
    <cellStyle name="Normal" xfId="0" builtinId="0"/>
    <cellStyle name="Título 1" xfId="1" builtinId="16"/>
  </cellStyles>
  <dxfs count="2">
    <dxf>
      <font>
        <b/>
        <sz val="16"/>
        <color rgb="FFC00000"/>
      </font>
      <fill>
        <patternFill patternType="solid">
          <fgColor rgb="FFFCE4E4"/>
        </patternFill>
      </fill>
    </dxf>
    <dxf>
      <font>
        <b/>
        <sz val="16"/>
        <color rgb="FFC00000"/>
      </font>
      <fill>
        <patternFill patternType="solid">
          <fgColor rgb="FFFC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Para onde vai o dinheiro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Dashboard!$C$10</c:f>
              <c:strCache>
                <c:ptCount val="1"/>
                <c:pt idx="0">
                  <c:v>Gasto (R$)</c:v>
                </c:pt>
              </c:strCache>
            </c:strRef>
          </c:tx>
          <c:spPr>
            <a:ln>
              <a:prstDash val="solid"/>
            </a:ln>
          </c:spPr>
          <c:explosion val="5"/>
          <c:dPt>
            <c:idx val="0"/>
            <c:bubble3D val="0"/>
            <c:explosion val="0"/>
            <c:extLst>
              <c:ext xmlns:c16="http://schemas.microsoft.com/office/drawing/2014/chart" uri="{C3380CC4-5D6E-409C-BE32-E72D297353CC}">
                <c16:uniqueId val="{00000002-6E62-40D2-BA5A-860C31D8A4D2}"/>
              </c:ext>
            </c:extLst>
          </c:dPt>
          <c:dPt>
            <c:idx val="1"/>
            <c:bubble3D val="0"/>
            <c:explosion val="0"/>
            <c:extLst>
              <c:ext xmlns:c16="http://schemas.microsoft.com/office/drawing/2014/chart" uri="{C3380CC4-5D6E-409C-BE32-E72D297353CC}">
                <c16:uniqueId val="{00000001-6E62-40D2-BA5A-860C31D8A4D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Dashboard!$B$11:$B$22</c:f>
              <c:strCache>
                <c:ptCount val="12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Lazer</c:v>
                </c:pt>
                <c:pt idx="5">
                  <c:v>Educação</c:v>
                </c:pt>
                <c:pt idx="6">
                  <c:v>Contas (luz/água/internet)</c:v>
                </c:pt>
                <c:pt idx="7">
                  <c:v>Mercado</c:v>
                </c:pt>
                <c:pt idx="8">
                  <c:v>Assinaturas</c:v>
                </c:pt>
                <c:pt idx="9">
                  <c:v>Filhos/Pets</c:v>
                </c:pt>
                <c:pt idx="10">
                  <c:v>Vestuário</c:v>
                </c:pt>
                <c:pt idx="11">
                  <c:v>Outros</c:v>
                </c:pt>
              </c:strCache>
            </c:strRef>
          </c:cat>
          <c:val>
            <c:numRef>
              <c:f>Dashboard!$C$11:$C$22</c:f>
              <c:numCache>
                <c:formatCode>\R\$\ #,##0.00</c:formatCode>
                <c:ptCount val="12"/>
                <c:pt idx="0">
                  <c:v>1500</c:v>
                </c:pt>
                <c:pt idx="1">
                  <c:v>0</c:v>
                </c:pt>
                <c:pt idx="2">
                  <c:v>500</c:v>
                </c:pt>
                <c:pt idx="3">
                  <c:v>0</c:v>
                </c:pt>
                <c:pt idx="4">
                  <c:v>200</c:v>
                </c:pt>
                <c:pt idx="5">
                  <c:v>250</c:v>
                </c:pt>
                <c:pt idx="6">
                  <c:v>140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2-40D2-BA5A-860C31D8A4D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304201618904989"/>
          <c:y val="6.295740740740742E-2"/>
          <c:w val="0.21067595255377214"/>
          <c:h val="0.69769629629629615"/>
        </c:manualLayout>
      </c:layout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Quem pagou o quê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Dashboard!$C$25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Dashboard!$B$26:$B$28</c:f>
              <c:strCache>
                <c:ptCount val="3"/>
                <c:pt idx="0">
                  <c:v>Gabriel</c:v>
                </c:pt>
                <c:pt idx="1">
                  <c:v>Beatriz</c:v>
                </c:pt>
                <c:pt idx="2">
                  <c:v>Os dois</c:v>
                </c:pt>
              </c:strCache>
            </c:strRef>
          </c:cat>
          <c:val>
            <c:numRef>
              <c:f>Dashboard!$C$26:$C$28</c:f>
              <c:numCache>
                <c:formatCode>\R\$\ #,##0.00</c:formatCode>
                <c:ptCount val="3"/>
                <c:pt idx="0">
                  <c:v>4240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C-4CC5-A784-F80E6971F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827615</xdr:colOff>
      <xdr:row>9</xdr:row>
      <xdr:rowOff>38100</xdr:rowOff>
    </xdr:from>
    <xdr:ext cx="4826000" cy="2687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179102</xdr:colOff>
      <xdr:row>9</xdr:row>
      <xdr:rowOff>170961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1"/>
  <sheetViews>
    <sheetView showGridLines="0" zoomScale="78" zoomScaleNormal="78" workbookViewId="0">
      <selection activeCell="E37" sqref="E37"/>
    </sheetView>
  </sheetViews>
  <sheetFormatPr defaultRowHeight="14.4" x14ac:dyDescent="0.3"/>
  <cols>
    <col min="1" max="1" width="2.44140625" customWidth="1"/>
    <col min="2" max="2" width="22" customWidth="1"/>
    <col min="3" max="3" width="22.33203125" customWidth="1"/>
    <col min="4" max="4" width="24" customWidth="1"/>
    <col min="5" max="5" width="19.6640625" customWidth="1"/>
    <col min="6" max="8" width="16" customWidth="1"/>
    <col min="9" max="9" width="3" customWidth="1"/>
    <col min="10" max="10" width="22" customWidth="1"/>
    <col min="11" max="12" width="14" customWidth="1"/>
  </cols>
  <sheetData>
    <row r="2" spans="2:8" ht="42" customHeight="1" x14ac:dyDescent="0.3">
      <c r="B2" s="56" t="s">
        <v>0</v>
      </c>
      <c r="C2" s="54"/>
      <c r="D2" s="54"/>
      <c r="E2" s="54"/>
      <c r="F2" s="54"/>
      <c r="G2" s="54"/>
      <c r="H2" s="54"/>
    </row>
    <row r="3" spans="2:8" ht="18" customHeight="1" x14ac:dyDescent="0.3">
      <c r="B3" s="58" t="str">
        <f>"Mês de referência: "&amp;TEXT('Meu Mês'!F3,"mmmm/yyyy")&amp;"   •   os números atualizam sozinhos conforme vocês anotam os gastos"</f>
        <v>Mês de referência: outubro/yyyy   •   os números atualizam sozinhos conforme vocês anotam os gastos</v>
      </c>
      <c r="C3" s="46"/>
      <c r="D3" s="46"/>
      <c r="E3" s="46"/>
      <c r="F3" s="46"/>
      <c r="G3" s="46"/>
      <c r="H3" s="46"/>
    </row>
    <row r="5" spans="2:8" ht="30" customHeight="1" x14ac:dyDescent="0.3">
      <c r="B5" s="22" t="s">
        <v>1</v>
      </c>
      <c r="C5" s="23" t="s">
        <v>2</v>
      </c>
      <c r="D5" s="24" t="s">
        <v>3</v>
      </c>
      <c r="E5" s="25" t="s">
        <v>4</v>
      </c>
      <c r="F5" s="26" t="s">
        <v>5</v>
      </c>
      <c r="G5" s="27" t="s">
        <v>6</v>
      </c>
    </row>
    <row r="6" spans="2:8" ht="40.200000000000003" customHeight="1" x14ac:dyDescent="0.3">
      <c r="B6" s="28">
        <f>'Meu Mês'!E13</f>
        <v>8700</v>
      </c>
      <c r="C6" s="29">
        <f>'Meu Mês'!F13</f>
        <v>4240</v>
      </c>
      <c r="D6" s="30">
        <f>'Meu Mês'!G13</f>
        <v>4460</v>
      </c>
      <c r="E6" s="31">
        <f ca="1">'Meu Mês'!H13</f>
        <v>178.4</v>
      </c>
      <c r="F6" s="32">
        <f>IF('Meu Mês'!E13=0,0,'Meu Mês'!F13/'Meu Mês'!E13)</f>
        <v>0.48735632183908045</v>
      </c>
      <c r="G6" s="33">
        <f>IF('Meu Mês'!E13=0,0,1-'Meu Mês'!F13/'Meu Mês'!E13)</f>
        <v>0.5126436781609196</v>
      </c>
    </row>
    <row r="7" spans="2:8" x14ac:dyDescent="0.3">
      <c r="B7" s="57" t="s">
        <v>7</v>
      </c>
      <c r="C7" s="46"/>
      <c r="D7" s="46"/>
      <c r="E7" s="46"/>
      <c r="F7" s="46"/>
      <c r="G7" s="46"/>
      <c r="H7" s="46"/>
    </row>
    <row r="9" spans="2:8" ht="25.95" customHeight="1" x14ac:dyDescent="0.3">
      <c r="B9" s="53" t="s">
        <v>8</v>
      </c>
      <c r="C9" s="54"/>
      <c r="D9" s="54"/>
      <c r="E9" s="54"/>
    </row>
    <row r="10" spans="2:8" x14ac:dyDescent="0.3">
      <c r="B10" s="34" t="s">
        <v>9</v>
      </c>
      <c r="C10" s="34" t="s">
        <v>10</v>
      </c>
      <c r="D10" s="34" t="s">
        <v>11</v>
      </c>
      <c r="E10" s="34"/>
    </row>
    <row r="11" spans="2:8" x14ac:dyDescent="0.3">
      <c r="B11" s="35" t="s">
        <v>12</v>
      </c>
      <c r="C11" s="36">
        <f>SUMIF('Meu Mês'!G18:G200,B11,'Meu Mês'!F18:F200)</f>
        <v>1500</v>
      </c>
      <c r="D11" s="37">
        <f>IF('Meu Mês'!F13=0,0,C11/'Meu Mês'!F13)</f>
        <v>0.35377358490566035</v>
      </c>
    </row>
    <row r="12" spans="2:8" x14ac:dyDescent="0.3">
      <c r="B12" s="38" t="s">
        <v>13</v>
      </c>
      <c r="C12" s="39">
        <f>SUMIF('Meu Mês'!G18:G200,B12,'Meu Mês'!F18:F200)</f>
        <v>0</v>
      </c>
      <c r="D12" s="40">
        <f>IF('Meu Mês'!F13=0,0,C12/'Meu Mês'!F13)</f>
        <v>0</v>
      </c>
    </row>
    <row r="13" spans="2:8" x14ac:dyDescent="0.3">
      <c r="B13" s="35" t="s">
        <v>14</v>
      </c>
      <c r="C13" s="36">
        <f>SUMIF('Meu Mês'!G18:G200,B13,'Meu Mês'!F18:F200)</f>
        <v>500</v>
      </c>
      <c r="D13" s="37">
        <f>IF('Meu Mês'!F13=0,0,C13/'Meu Mês'!F13)</f>
        <v>0.11792452830188679</v>
      </c>
    </row>
    <row r="14" spans="2:8" x14ac:dyDescent="0.3">
      <c r="B14" s="38" t="s">
        <v>15</v>
      </c>
      <c r="C14" s="39">
        <f>SUMIF('Meu Mês'!G18:G200,B14,'Meu Mês'!F18:F200)</f>
        <v>0</v>
      </c>
      <c r="D14" s="40">
        <f>IF('Meu Mês'!F13=0,0,C14/'Meu Mês'!F13)</f>
        <v>0</v>
      </c>
    </row>
    <row r="15" spans="2:8" x14ac:dyDescent="0.3">
      <c r="B15" s="35" t="s">
        <v>16</v>
      </c>
      <c r="C15" s="36">
        <f>SUMIF('Meu Mês'!G18:G200,B15,'Meu Mês'!F18:F200)</f>
        <v>200</v>
      </c>
      <c r="D15" s="37">
        <f>IF('Meu Mês'!F13=0,0,C15/'Meu Mês'!F13)</f>
        <v>4.716981132075472E-2</v>
      </c>
    </row>
    <row r="16" spans="2:8" x14ac:dyDescent="0.3">
      <c r="B16" s="38" t="s">
        <v>17</v>
      </c>
      <c r="C16" s="39">
        <f>SUMIF('Meu Mês'!G18:G200,B16,'Meu Mês'!F18:F200)</f>
        <v>250</v>
      </c>
      <c r="D16" s="40">
        <f>IF('Meu Mês'!F13=0,0,C16/'Meu Mês'!F13)</f>
        <v>5.8962264150943397E-2</v>
      </c>
    </row>
    <row r="17" spans="2:8" x14ac:dyDescent="0.3">
      <c r="B17" s="35" t="s">
        <v>18</v>
      </c>
      <c r="C17" s="36">
        <f>SUMIF('Meu Mês'!G18:G200,B17,'Meu Mês'!F18:F200)</f>
        <v>140</v>
      </c>
      <c r="D17" s="37">
        <f>IF('Meu Mês'!F13=0,0,C17/'Meu Mês'!F13)</f>
        <v>3.3018867924528301E-2</v>
      </c>
    </row>
    <row r="18" spans="2:8" x14ac:dyDescent="0.3">
      <c r="B18" s="38" t="s">
        <v>19</v>
      </c>
      <c r="C18" s="39">
        <f>SUMIF('Meu Mês'!G18:G200,B18,'Meu Mês'!F18:F200)</f>
        <v>0</v>
      </c>
      <c r="D18" s="40">
        <f>IF('Meu Mês'!F13=0,0,C18/'Meu Mês'!F13)</f>
        <v>0</v>
      </c>
    </row>
    <row r="19" spans="2:8" x14ac:dyDescent="0.3">
      <c r="B19" s="35" t="s">
        <v>20</v>
      </c>
      <c r="C19" s="36">
        <f>SUMIF('Meu Mês'!G18:G200,B19,'Meu Mês'!F18:F200)</f>
        <v>0</v>
      </c>
      <c r="D19" s="37">
        <f>IF('Meu Mês'!F13=0,0,C19/'Meu Mês'!F13)</f>
        <v>0</v>
      </c>
    </row>
    <row r="20" spans="2:8" x14ac:dyDescent="0.3">
      <c r="B20" s="38" t="s">
        <v>21</v>
      </c>
      <c r="C20" s="39">
        <f>SUMIF('Meu Mês'!G18:G200,B20,'Meu Mês'!F18:F200)</f>
        <v>0</v>
      </c>
      <c r="D20" s="40">
        <f>IF('Meu Mês'!F13=0,0,C20/'Meu Mês'!F13)</f>
        <v>0</v>
      </c>
    </row>
    <row r="21" spans="2:8" x14ac:dyDescent="0.3">
      <c r="B21" s="35" t="s">
        <v>22</v>
      </c>
      <c r="C21" s="36">
        <f>SUMIF('Meu Mês'!G18:G200,B21,'Meu Mês'!F18:F200)</f>
        <v>0</v>
      </c>
      <c r="D21" s="37">
        <f>IF('Meu Mês'!F13=0,0,C21/'Meu Mês'!F13)</f>
        <v>0</v>
      </c>
    </row>
    <row r="22" spans="2:8" x14ac:dyDescent="0.3">
      <c r="B22" s="38" t="s">
        <v>23</v>
      </c>
      <c r="C22" s="39">
        <f>SUMIF('Meu Mês'!G18:G200,B22,'Meu Mês'!F18:F200)</f>
        <v>0</v>
      </c>
      <c r="D22" s="40">
        <f>IF('Meu Mês'!F13=0,0,C22/'Meu Mês'!F13)</f>
        <v>0</v>
      </c>
    </row>
    <row r="23" spans="2:8" x14ac:dyDescent="0.3">
      <c r="B23" s="41" t="s">
        <v>24</v>
      </c>
      <c r="C23" s="42">
        <f>SUM(C11:C22)</f>
        <v>2590</v>
      </c>
      <c r="D23" s="43">
        <f>SUM(D11:D22)</f>
        <v>0.61084905660377364</v>
      </c>
    </row>
    <row r="25" spans="2:8" ht="25.95" customHeight="1" x14ac:dyDescent="0.3">
      <c r="B25" s="53" t="s">
        <v>25</v>
      </c>
      <c r="C25" s="54"/>
      <c r="D25" s="54"/>
      <c r="E25" s="54"/>
    </row>
    <row r="26" spans="2:8" x14ac:dyDescent="0.3">
      <c r="B26" s="38" t="s">
        <v>26</v>
      </c>
      <c r="C26" s="39">
        <f>SUMIF('Meu Mês'!H18:H200,B26,'Meu Mês'!F18:F200)</f>
        <v>4240</v>
      </c>
    </row>
    <row r="27" spans="2:8" x14ac:dyDescent="0.3">
      <c r="B27" s="38" t="s">
        <v>27</v>
      </c>
      <c r="C27" s="39">
        <f>SUMIF('Meu Mês'!H18:H200,B27,'Meu Mês'!F18:F200)</f>
        <v>0</v>
      </c>
    </row>
    <row r="28" spans="2:8" x14ac:dyDescent="0.3">
      <c r="B28" s="38" t="s">
        <v>28</v>
      </c>
      <c r="C28" s="39">
        <f>SUMIF('Meu Mês'!H18:H200,B28,'Meu Mês'!F18:F200)</f>
        <v>0</v>
      </c>
    </row>
    <row r="30" spans="2:8" x14ac:dyDescent="0.3">
      <c r="B30" s="55" t="str">
        <f>IF('Meu Mês'!G13&lt;0,"⚠️ Atenção: vocês já gastaram MAIS do que têm no mês!",IF('Meu Mês'!F13/'Meu Mês'!E13&gt;0.8,"⚠️ Cuidado: já passou de 80% do que têm!","✅ Tudo certo! Os gastos estão dentro do planejado."))</f>
        <v>✅ Tudo certo! Os gastos estão dentro do planejado.</v>
      </c>
      <c r="C30" s="46"/>
      <c r="D30" s="46"/>
      <c r="E30" s="46"/>
      <c r="F30" s="46"/>
      <c r="G30" s="46"/>
      <c r="H30" s="46"/>
    </row>
    <row r="31" spans="2:8" x14ac:dyDescent="0.3">
      <c r="B31" s="46"/>
      <c r="C31" s="46"/>
      <c r="D31" s="46"/>
      <c r="E31" s="46"/>
      <c r="F31" s="46"/>
      <c r="G31" s="46"/>
      <c r="H31" s="46"/>
    </row>
  </sheetData>
  <mergeCells count="6">
    <mergeCell ref="B9:E9"/>
    <mergeCell ref="B30:H31"/>
    <mergeCell ref="B2:H2"/>
    <mergeCell ref="B25:E25"/>
    <mergeCell ref="B7:H7"/>
    <mergeCell ref="B3:H3"/>
  </mergeCells>
  <conditionalFormatting sqref="C11:C22">
    <cfRule type="dataBar" priority="1">
      <dataBar>
        <cfvo type="num" val="0"/>
        <cfvo type="max"/>
        <color rgb="FFE05252"/>
      </dataBar>
    </cfRule>
  </conditionalFormatting>
  <conditionalFormatting sqref="C26:C28">
    <cfRule type="dataBar" priority="2">
      <dataBar>
        <cfvo type="num" val="0"/>
        <cfvo type="max"/>
        <color rgb="FF3B7DD8"/>
      </dataBar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BC00-431B-48B9-8EE3-1F31DBDF3F18}">
  <dimension ref="D1:L200"/>
  <sheetViews>
    <sheetView showGridLines="0" tabSelected="1" zoomScale="83" zoomScaleNormal="83" workbookViewId="0">
      <selection activeCell="O12" sqref="O12"/>
    </sheetView>
  </sheetViews>
  <sheetFormatPr defaultRowHeight="14.4" x14ac:dyDescent="0.3"/>
  <cols>
    <col min="3" max="3" width="6" customWidth="1"/>
    <col min="4" max="4" width="2.6640625" hidden="1" customWidth="1"/>
    <col min="5" max="5" width="28.6640625" customWidth="1"/>
    <col min="6" max="6" width="29" customWidth="1"/>
    <col min="7" max="7" width="33.6640625" customWidth="1"/>
    <col min="8" max="8" width="25.33203125" customWidth="1"/>
    <col min="9" max="9" width="33.5546875" customWidth="1"/>
    <col min="10" max="10" width="4" customWidth="1"/>
  </cols>
  <sheetData>
    <row r="1" spans="5:9" ht="40.200000000000003" customHeight="1" x14ac:dyDescent="0.3">
      <c r="E1" s="45" t="s">
        <v>29</v>
      </c>
      <c r="F1" s="46"/>
      <c r="G1" s="46"/>
      <c r="H1" s="46"/>
      <c r="I1" s="46"/>
    </row>
    <row r="3" spans="5:9" x14ac:dyDescent="0.3">
      <c r="E3" s="1" t="s">
        <v>30</v>
      </c>
      <c r="F3" s="2">
        <v>46296</v>
      </c>
      <c r="G3" s="3" t="s">
        <v>31</v>
      </c>
    </row>
    <row r="5" spans="5:9" ht="25.95" customHeight="1" x14ac:dyDescent="0.3">
      <c r="E5" s="47" t="s">
        <v>32</v>
      </c>
      <c r="F5" s="46"/>
      <c r="G5" s="46"/>
      <c r="H5" s="46"/>
      <c r="I5" s="46"/>
    </row>
    <row r="6" spans="5:9" ht="22.2" customHeight="1" x14ac:dyDescent="0.3">
      <c r="E6" s="49" t="s">
        <v>33</v>
      </c>
      <c r="F6" s="46"/>
      <c r="G6" s="46"/>
      <c r="H6" s="4">
        <v>3500</v>
      </c>
      <c r="I6" s="5"/>
    </row>
    <row r="7" spans="5:9" ht="22.2" customHeight="1" x14ac:dyDescent="0.3">
      <c r="E7" s="49" t="s">
        <v>34</v>
      </c>
      <c r="F7" s="46"/>
      <c r="G7" s="46"/>
      <c r="H7" s="4">
        <v>4000</v>
      </c>
      <c r="I7" s="5"/>
    </row>
    <row r="8" spans="5:9" ht="22.2" customHeight="1" x14ac:dyDescent="0.3">
      <c r="E8" s="49" t="s">
        <v>35</v>
      </c>
      <c r="F8" s="46"/>
      <c r="G8" s="46"/>
      <c r="H8" s="4">
        <v>1200</v>
      </c>
      <c r="I8" s="5"/>
    </row>
    <row r="9" spans="5:9" ht="24" customHeight="1" x14ac:dyDescent="0.3">
      <c r="E9" s="52" t="s">
        <v>36</v>
      </c>
      <c r="F9" s="46"/>
      <c r="G9" s="46"/>
      <c r="H9" s="6">
        <f>SUM(H6:H8)</f>
        <v>8700</v>
      </c>
      <c r="I9" s="5"/>
    </row>
    <row r="11" spans="5:9" ht="25.95" customHeight="1" x14ac:dyDescent="0.3">
      <c r="E11" s="51" t="s">
        <v>37</v>
      </c>
      <c r="F11" s="46"/>
      <c r="G11" s="46"/>
      <c r="H11" s="46"/>
      <c r="I11" s="46"/>
    </row>
    <row r="12" spans="5:9" ht="34.200000000000003" customHeight="1" x14ac:dyDescent="0.3">
      <c r="E12" s="7" t="s">
        <v>38</v>
      </c>
      <c r="F12" s="8" t="s">
        <v>39</v>
      </c>
      <c r="G12" s="9" t="s">
        <v>40</v>
      </c>
      <c r="H12" s="10" t="s">
        <v>41</v>
      </c>
    </row>
    <row r="13" spans="5:9" ht="34.200000000000003" customHeight="1" x14ac:dyDescent="0.3">
      <c r="E13" s="11">
        <f>H9</f>
        <v>8700</v>
      </c>
      <c r="F13" s="12">
        <f>SUM(F18:F200)</f>
        <v>9230</v>
      </c>
      <c r="G13" s="13">
        <f>H9-SUM(F18:F200)</f>
        <v>-530</v>
      </c>
      <c r="H13" s="14">
        <f ca="1">(H9-SUM(F18:F200))/MAX(1,DAY(EOMONTH(F3,0))-DAY(TODAY())+1)</f>
        <v>-21.2</v>
      </c>
    </row>
    <row r="14" spans="5:9" x14ac:dyDescent="0.3">
      <c r="E14" s="48" t="s">
        <v>42</v>
      </c>
      <c r="F14" s="46"/>
      <c r="G14" s="46"/>
      <c r="H14" s="46"/>
      <c r="I14" s="46"/>
    </row>
    <row r="16" spans="5:9" ht="25.95" customHeight="1" x14ac:dyDescent="0.3">
      <c r="E16" s="50" t="s">
        <v>43</v>
      </c>
      <c r="F16" s="46"/>
      <c r="G16" s="46"/>
      <c r="H16" s="46"/>
      <c r="I16" s="46"/>
    </row>
    <row r="17" spans="5:12" ht="22.2" customHeight="1" x14ac:dyDescent="0.3">
      <c r="E17" s="15" t="s">
        <v>44</v>
      </c>
      <c r="F17" s="15" t="s">
        <v>45</v>
      </c>
      <c r="G17" s="15" t="s">
        <v>9</v>
      </c>
      <c r="H17" s="15" t="s">
        <v>46</v>
      </c>
      <c r="I17" s="15" t="s">
        <v>47</v>
      </c>
    </row>
    <row r="18" spans="5:12" x14ac:dyDescent="0.3">
      <c r="E18" s="16"/>
      <c r="F18" s="17">
        <v>1500</v>
      </c>
      <c r="G18" s="18" t="s">
        <v>12</v>
      </c>
      <c r="H18" s="18" t="s">
        <v>26</v>
      </c>
      <c r="I18" s="18" t="s">
        <v>48</v>
      </c>
    </row>
    <row r="19" spans="5:12" x14ac:dyDescent="0.3">
      <c r="E19" s="19"/>
      <c r="F19" s="20">
        <v>400</v>
      </c>
      <c r="G19" s="21" t="s">
        <v>18</v>
      </c>
      <c r="H19" s="21" t="s">
        <v>26</v>
      </c>
      <c r="I19" s="21" t="s">
        <v>49</v>
      </c>
    </row>
    <row r="20" spans="5:12" x14ac:dyDescent="0.3">
      <c r="E20" s="16"/>
      <c r="F20" s="17">
        <v>300</v>
      </c>
      <c r="G20" s="18" t="s">
        <v>18</v>
      </c>
      <c r="H20" s="18" t="s">
        <v>26</v>
      </c>
      <c r="I20" s="18" t="s">
        <v>50</v>
      </c>
      <c r="L20" s="44"/>
    </row>
    <row r="21" spans="5:12" x14ac:dyDescent="0.3">
      <c r="E21" s="19"/>
      <c r="F21" s="20">
        <v>1600</v>
      </c>
      <c r="G21" s="21" t="s">
        <v>14</v>
      </c>
      <c r="H21" s="21" t="s">
        <v>26</v>
      </c>
      <c r="I21" s="21" t="s">
        <v>51</v>
      </c>
    </row>
    <row r="22" spans="5:12" x14ac:dyDescent="0.3">
      <c r="E22" s="16"/>
      <c r="F22" s="17">
        <v>500</v>
      </c>
      <c r="G22" s="18" t="s">
        <v>14</v>
      </c>
      <c r="H22" s="18" t="s">
        <v>26</v>
      </c>
      <c r="I22" s="18" t="s">
        <v>52</v>
      </c>
    </row>
    <row r="23" spans="5:12" x14ac:dyDescent="0.3">
      <c r="E23" s="19"/>
      <c r="F23" s="20">
        <v>2000</v>
      </c>
      <c r="G23" s="21" t="s">
        <v>53</v>
      </c>
      <c r="H23" s="21" t="s">
        <v>26</v>
      </c>
      <c r="I23" s="21" t="s">
        <v>54</v>
      </c>
    </row>
    <row r="24" spans="5:12" ht="13.95" customHeight="1" x14ac:dyDescent="0.3">
      <c r="E24" s="16"/>
      <c r="F24" s="17">
        <v>400</v>
      </c>
      <c r="G24" s="18" t="s">
        <v>17</v>
      </c>
      <c r="H24" s="18" t="s">
        <v>26</v>
      </c>
      <c r="I24" s="18" t="s">
        <v>55</v>
      </c>
    </row>
    <row r="25" spans="5:12" x14ac:dyDescent="0.3">
      <c r="E25" s="19"/>
      <c r="F25" s="20">
        <v>700</v>
      </c>
      <c r="G25" s="21" t="s">
        <v>56</v>
      </c>
      <c r="H25" s="21" t="s">
        <v>26</v>
      </c>
      <c r="I25" s="21" t="s">
        <v>57</v>
      </c>
    </row>
    <row r="26" spans="5:12" x14ac:dyDescent="0.3">
      <c r="E26" s="16"/>
      <c r="F26" s="17">
        <v>300</v>
      </c>
      <c r="G26" s="18" t="s">
        <v>22</v>
      </c>
      <c r="H26" s="18" t="s">
        <v>26</v>
      </c>
      <c r="I26" s="18" t="s">
        <v>58</v>
      </c>
    </row>
    <row r="27" spans="5:12" x14ac:dyDescent="0.3">
      <c r="E27" s="19"/>
      <c r="F27" s="20">
        <v>180</v>
      </c>
      <c r="G27" s="21" t="s">
        <v>18</v>
      </c>
      <c r="H27" s="21" t="s">
        <v>26</v>
      </c>
      <c r="I27" s="21" t="s">
        <v>59</v>
      </c>
    </row>
    <row r="28" spans="5:12" x14ac:dyDescent="0.3">
      <c r="E28" s="16"/>
      <c r="F28" s="17">
        <v>100</v>
      </c>
      <c r="G28" s="18" t="s">
        <v>14</v>
      </c>
      <c r="H28" s="18" t="s">
        <v>26</v>
      </c>
      <c r="I28" s="18" t="s">
        <v>60</v>
      </c>
    </row>
    <row r="29" spans="5:12" ht="13.8" customHeight="1" x14ac:dyDescent="0.3">
      <c r="E29" s="19"/>
      <c r="F29" s="20">
        <v>400</v>
      </c>
      <c r="G29" s="21" t="s">
        <v>15</v>
      </c>
      <c r="H29" s="21" t="s">
        <v>26</v>
      </c>
      <c r="I29" s="21" t="s">
        <v>61</v>
      </c>
    </row>
    <row r="30" spans="5:12" x14ac:dyDescent="0.3">
      <c r="E30" s="16"/>
      <c r="F30" s="17">
        <v>300</v>
      </c>
      <c r="G30" s="18" t="s">
        <v>16</v>
      </c>
      <c r="H30" s="18" t="s">
        <v>26</v>
      </c>
      <c r="I30" s="18" t="s">
        <v>63</v>
      </c>
    </row>
    <row r="31" spans="5:12" x14ac:dyDescent="0.3">
      <c r="E31" s="19"/>
      <c r="F31" s="20">
        <v>150</v>
      </c>
      <c r="G31" s="21" t="s">
        <v>15</v>
      </c>
      <c r="H31" s="21" t="s">
        <v>26</v>
      </c>
      <c r="I31" s="21" t="s">
        <v>62</v>
      </c>
    </row>
    <row r="32" spans="5:12" x14ac:dyDescent="0.3">
      <c r="E32" s="16"/>
      <c r="F32" s="17">
        <v>400</v>
      </c>
      <c r="G32" s="18" t="s">
        <v>64</v>
      </c>
      <c r="H32" s="18" t="s">
        <v>26</v>
      </c>
      <c r="I32" s="18" t="s">
        <v>65</v>
      </c>
    </row>
    <row r="33" spans="5:9" x14ac:dyDescent="0.3">
      <c r="E33" s="19"/>
      <c r="F33" s="20"/>
      <c r="G33" s="21"/>
      <c r="H33" s="21"/>
      <c r="I33" s="21"/>
    </row>
    <row r="34" spans="5:9" x14ac:dyDescent="0.3">
      <c r="E34" s="16"/>
      <c r="F34" s="17"/>
      <c r="G34" s="18"/>
      <c r="H34" s="18"/>
      <c r="I34" s="18"/>
    </row>
    <row r="35" spans="5:9" x14ac:dyDescent="0.3">
      <c r="E35" s="19"/>
      <c r="F35" s="20"/>
      <c r="G35" s="21"/>
      <c r="H35" s="21"/>
      <c r="I35" s="21"/>
    </row>
    <row r="36" spans="5:9" x14ac:dyDescent="0.3">
      <c r="E36" s="16"/>
      <c r="F36" s="17"/>
      <c r="G36" s="18"/>
      <c r="H36" s="18"/>
      <c r="I36" s="18"/>
    </row>
    <row r="37" spans="5:9" x14ac:dyDescent="0.3">
      <c r="E37" s="19"/>
      <c r="F37" s="20"/>
      <c r="G37" s="21"/>
      <c r="H37" s="21"/>
      <c r="I37" s="21"/>
    </row>
    <row r="38" spans="5:9" x14ac:dyDescent="0.3">
      <c r="E38" s="16"/>
      <c r="F38" s="17"/>
      <c r="G38" s="18"/>
      <c r="H38" s="18"/>
      <c r="I38" s="18"/>
    </row>
    <row r="39" spans="5:9" x14ac:dyDescent="0.3">
      <c r="E39" s="19"/>
      <c r="F39" s="20"/>
      <c r="G39" s="21"/>
      <c r="H39" s="21"/>
      <c r="I39" s="21"/>
    </row>
    <row r="40" spans="5:9" x14ac:dyDescent="0.3">
      <c r="E40" s="16"/>
      <c r="F40" s="17"/>
      <c r="G40" s="18"/>
      <c r="H40" s="18"/>
      <c r="I40" s="18"/>
    </row>
    <row r="41" spans="5:9" x14ac:dyDescent="0.3">
      <c r="E41" s="19"/>
      <c r="F41" s="20"/>
      <c r="G41" s="21"/>
      <c r="H41" s="21"/>
      <c r="I41" s="21"/>
    </row>
    <row r="42" spans="5:9" x14ac:dyDescent="0.3">
      <c r="E42" s="16"/>
      <c r="F42" s="17"/>
      <c r="G42" s="18"/>
      <c r="H42" s="18"/>
      <c r="I42" s="18"/>
    </row>
    <row r="43" spans="5:9" x14ac:dyDescent="0.3">
      <c r="E43" s="19"/>
      <c r="F43" s="20"/>
      <c r="G43" s="21"/>
      <c r="H43" s="21"/>
      <c r="I43" s="21"/>
    </row>
    <row r="44" spans="5:9" x14ac:dyDescent="0.3">
      <c r="E44" s="16"/>
      <c r="F44" s="17"/>
      <c r="G44" s="18"/>
      <c r="H44" s="18"/>
      <c r="I44" s="18"/>
    </row>
    <row r="45" spans="5:9" x14ac:dyDescent="0.3">
      <c r="E45" s="19"/>
      <c r="F45" s="20"/>
      <c r="G45" s="21"/>
      <c r="H45" s="21"/>
      <c r="I45" s="21"/>
    </row>
    <row r="46" spans="5:9" x14ac:dyDescent="0.3">
      <c r="E46" s="16"/>
      <c r="F46" s="17"/>
      <c r="G46" s="18"/>
      <c r="H46" s="18"/>
      <c r="I46" s="18"/>
    </row>
    <row r="47" spans="5:9" x14ac:dyDescent="0.3">
      <c r="E47" s="19"/>
      <c r="F47" s="20"/>
      <c r="G47" s="21"/>
      <c r="H47" s="21"/>
      <c r="I47" s="21"/>
    </row>
    <row r="48" spans="5:9" x14ac:dyDescent="0.3">
      <c r="E48" s="16"/>
      <c r="F48" s="17"/>
      <c r="G48" s="18"/>
      <c r="H48" s="18"/>
      <c r="I48" s="18"/>
    </row>
    <row r="49" spans="5:9" x14ac:dyDescent="0.3">
      <c r="E49" s="19"/>
      <c r="F49" s="20"/>
      <c r="G49" s="21"/>
      <c r="H49" s="21"/>
      <c r="I49" s="21"/>
    </row>
    <row r="50" spans="5:9" x14ac:dyDescent="0.3">
      <c r="E50" s="16"/>
      <c r="F50" s="17"/>
      <c r="G50" s="18"/>
      <c r="H50" s="18"/>
      <c r="I50" s="18"/>
    </row>
    <row r="51" spans="5:9" x14ac:dyDescent="0.3">
      <c r="E51" s="19"/>
      <c r="F51" s="20"/>
      <c r="G51" s="21"/>
      <c r="H51" s="21"/>
      <c r="I51" s="21"/>
    </row>
    <row r="52" spans="5:9" x14ac:dyDescent="0.3">
      <c r="E52" s="16"/>
      <c r="F52" s="17"/>
      <c r="G52" s="18"/>
      <c r="H52" s="18"/>
      <c r="I52" s="18"/>
    </row>
    <row r="53" spans="5:9" x14ac:dyDescent="0.3">
      <c r="E53" s="19"/>
      <c r="F53" s="20"/>
      <c r="G53" s="21"/>
      <c r="H53" s="21"/>
      <c r="I53" s="21"/>
    </row>
    <row r="54" spans="5:9" x14ac:dyDescent="0.3">
      <c r="E54" s="16"/>
      <c r="F54" s="17"/>
      <c r="G54" s="18"/>
      <c r="H54" s="18"/>
      <c r="I54" s="18"/>
    </row>
    <row r="55" spans="5:9" x14ac:dyDescent="0.3">
      <c r="E55" s="19"/>
      <c r="F55" s="20"/>
      <c r="G55" s="21"/>
      <c r="H55" s="21"/>
      <c r="I55" s="21"/>
    </row>
    <row r="56" spans="5:9" x14ac:dyDescent="0.3">
      <c r="E56" s="16"/>
      <c r="F56" s="17"/>
      <c r="G56" s="18"/>
      <c r="H56" s="18"/>
      <c r="I56" s="18"/>
    </row>
    <row r="57" spans="5:9" x14ac:dyDescent="0.3">
      <c r="E57" s="19"/>
      <c r="F57" s="20"/>
      <c r="G57" s="21"/>
      <c r="H57" s="21"/>
      <c r="I57" s="21"/>
    </row>
    <row r="58" spans="5:9" x14ac:dyDescent="0.3">
      <c r="E58" s="16"/>
      <c r="F58" s="17"/>
      <c r="G58" s="18"/>
      <c r="H58" s="18"/>
      <c r="I58" s="18"/>
    </row>
    <row r="59" spans="5:9" x14ac:dyDescent="0.3">
      <c r="E59" s="19"/>
      <c r="F59" s="20"/>
      <c r="G59" s="21"/>
      <c r="H59" s="21"/>
      <c r="I59" s="21"/>
    </row>
    <row r="60" spans="5:9" x14ac:dyDescent="0.3">
      <c r="E60" s="16"/>
      <c r="F60" s="17"/>
      <c r="G60" s="18"/>
      <c r="H60" s="18"/>
      <c r="I60" s="18"/>
    </row>
    <row r="61" spans="5:9" x14ac:dyDescent="0.3">
      <c r="E61" s="19"/>
      <c r="F61" s="20"/>
      <c r="G61" s="21"/>
      <c r="H61" s="21"/>
      <c r="I61" s="21"/>
    </row>
    <row r="62" spans="5:9" x14ac:dyDescent="0.3">
      <c r="E62" s="16"/>
      <c r="F62" s="17"/>
      <c r="G62" s="18"/>
      <c r="H62" s="18"/>
      <c r="I62" s="18"/>
    </row>
    <row r="63" spans="5:9" x14ac:dyDescent="0.3">
      <c r="E63" s="19"/>
      <c r="F63" s="20"/>
      <c r="G63" s="21"/>
      <c r="H63" s="21"/>
      <c r="I63" s="21"/>
    </row>
    <row r="64" spans="5:9" x14ac:dyDescent="0.3">
      <c r="E64" s="16"/>
      <c r="F64" s="17"/>
      <c r="G64" s="18"/>
      <c r="H64" s="18"/>
      <c r="I64" s="18"/>
    </row>
    <row r="65" spans="5:9" x14ac:dyDescent="0.3">
      <c r="E65" s="19"/>
      <c r="F65" s="20"/>
      <c r="G65" s="21"/>
      <c r="H65" s="21"/>
      <c r="I65" s="21"/>
    </row>
    <row r="66" spans="5:9" x14ac:dyDescent="0.3">
      <c r="E66" s="16"/>
      <c r="F66" s="17"/>
      <c r="G66" s="18"/>
      <c r="H66" s="18"/>
      <c r="I66" s="18"/>
    </row>
    <row r="67" spans="5:9" x14ac:dyDescent="0.3">
      <c r="E67" s="19"/>
      <c r="F67" s="20"/>
      <c r="G67" s="21"/>
      <c r="H67" s="21"/>
      <c r="I67" s="21"/>
    </row>
    <row r="68" spans="5:9" x14ac:dyDescent="0.3">
      <c r="E68" s="16"/>
      <c r="F68" s="17"/>
      <c r="G68" s="18"/>
      <c r="H68" s="18"/>
      <c r="I68" s="18"/>
    </row>
    <row r="69" spans="5:9" x14ac:dyDescent="0.3">
      <c r="E69" s="19"/>
      <c r="F69" s="20"/>
      <c r="G69" s="21"/>
      <c r="H69" s="21"/>
      <c r="I69" s="21"/>
    </row>
    <row r="70" spans="5:9" x14ac:dyDescent="0.3">
      <c r="E70" s="16"/>
      <c r="F70" s="17"/>
      <c r="G70" s="18"/>
      <c r="H70" s="18"/>
      <c r="I70" s="18"/>
    </row>
    <row r="71" spans="5:9" x14ac:dyDescent="0.3">
      <c r="E71" s="19"/>
      <c r="F71" s="20"/>
      <c r="G71" s="21"/>
      <c r="H71" s="21"/>
      <c r="I71" s="21"/>
    </row>
    <row r="72" spans="5:9" x14ac:dyDescent="0.3">
      <c r="E72" s="16"/>
      <c r="F72" s="17"/>
      <c r="G72" s="18"/>
      <c r="H72" s="18"/>
      <c r="I72" s="18"/>
    </row>
    <row r="73" spans="5:9" x14ac:dyDescent="0.3">
      <c r="E73" s="19"/>
      <c r="F73" s="20"/>
      <c r="G73" s="21"/>
      <c r="H73" s="21"/>
      <c r="I73" s="21"/>
    </row>
    <row r="74" spans="5:9" x14ac:dyDescent="0.3">
      <c r="E74" s="16"/>
      <c r="F74" s="17"/>
      <c r="G74" s="18"/>
      <c r="H74" s="18"/>
      <c r="I74" s="18"/>
    </row>
    <row r="75" spans="5:9" x14ac:dyDescent="0.3">
      <c r="E75" s="19"/>
      <c r="F75" s="20"/>
      <c r="G75" s="21"/>
      <c r="H75" s="21"/>
      <c r="I75" s="21"/>
    </row>
    <row r="76" spans="5:9" x14ac:dyDescent="0.3">
      <c r="E76" s="16"/>
      <c r="F76" s="17"/>
      <c r="G76" s="18"/>
      <c r="H76" s="18"/>
      <c r="I76" s="18"/>
    </row>
    <row r="77" spans="5:9" x14ac:dyDescent="0.3">
      <c r="E77" s="19"/>
      <c r="F77" s="20"/>
      <c r="G77" s="21"/>
      <c r="H77" s="21"/>
      <c r="I77" s="21"/>
    </row>
    <row r="78" spans="5:9" x14ac:dyDescent="0.3">
      <c r="E78" s="16"/>
      <c r="F78" s="17"/>
      <c r="G78" s="18"/>
      <c r="H78" s="18"/>
      <c r="I78" s="18"/>
    </row>
    <row r="79" spans="5:9" x14ac:dyDescent="0.3">
      <c r="E79" s="19"/>
      <c r="F79" s="20"/>
      <c r="G79" s="21"/>
      <c r="H79" s="21"/>
      <c r="I79" s="21"/>
    </row>
    <row r="80" spans="5:9" x14ac:dyDescent="0.3">
      <c r="E80" s="16"/>
      <c r="F80" s="17"/>
      <c r="G80" s="18"/>
      <c r="H80" s="18"/>
      <c r="I80" s="18"/>
    </row>
    <row r="81" spans="5:9" x14ac:dyDescent="0.3">
      <c r="E81" s="19"/>
      <c r="F81" s="20"/>
      <c r="G81" s="21"/>
      <c r="H81" s="21"/>
      <c r="I81" s="21"/>
    </row>
    <row r="82" spans="5:9" x14ac:dyDescent="0.3">
      <c r="E82" s="16"/>
      <c r="F82" s="17"/>
      <c r="G82" s="18"/>
      <c r="H82" s="18"/>
      <c r="I82" s="18"/>
    </row>
    <row r="83" spans="5:9" x14ac:dyDescent="0.3">
      <c r="E83" s="19"/>
      <c r="F83" s="20"/>
      <c r="G83" s="21"/>
      <c r="H83" s="21"/>
      <c r="I83" s="21"/>
    </row>
    <row r="84" spans="5:9" x14ac:dyDescent="0.3">
      <c r="E84" s="16"/>
      <c r="F84" s="17"/>
      <c r="G84" s="18"/>
      <c r="H84" s="18"/>
      <c r="I84" s="18"/>
    </row>
    <row r="85" spans="5:9" x14ac:dyDescent="0.3">
      <c r="E85" s="19"/>
      <c r="F85" s="20"/>
      <c r="G85" s="21"/>
      <c r="H85" s="21"/>
      <c r="I85" s="21"/>
    </row>
    <row r="86" spans="5:9" x14ac:dyDescent="0.3">
      <c r="E86" s="16"/>
      <c r="F86" s="17"/>
      <c r="G86" s="18"/>
      <c r="H86" s="18"/>
      <c r="I86" s="18"/>
    </row>
    <row r="87" spans="5:9" x14ac:dyDescent="0.3">
      <c r="E87" s="19"/>
      <c r="F87" s="20"/>
      <c r="G87" s="21"/>
      <c r="H87" s="21"/>
      <c r="I87" s="21"/>
    </row>
    <row r="88" spans="5:9" x14ac:dyDescent="0.3">
      <c r="E88" s="16"/>
      <c r="F88" s="17"/>
      <c r="G88" s="18"/>
      <c r="H88" s="18"/>
      <c r="I88" s="18"/>
    </row>
    <row r="89" spans="5:9" x14ac:dyDescent="0.3">
      <c r="E89" s="19"/>
      <c r="F89" s="20"/>
      <c r="G89" s="21"/>
      <c r="H89" s="21"/>
      <c r="I89" s="21"/>
    </row>
    <row r="90" spans="5:9" x14ac:dyDescent="0.3">
      <c r="E90" s="16"/>
      <c r="F90" s="17"/>
      <c r="G90" s="18"/>
      <c r="H90" s="18"/>
      <c r="I90" s="18"/>
    </row>
    <row r="91" spans="5:9" x14ac:dyDescent="0.3">
      <c r="E91" s="19"/>
      <c r="F91" s="20"/>
      <c r="G91" s="21"/>
      <c r="H91" s="21"/>
      <c r="I91" s="21"/>
    </row>
    <row r="92" spans="5:9" x14ac:dyDescent="0.3">
      <c r="E92" s="16"/>
      <c r="F92" s="17"/>
      <c r="G92" s="18"/>
      <c r="H92" s="18"/>
      <c r="I92" s="18"/>
    </row>
    <row r="93" spans="5:9" x14ac:dyDescent="0.3">
      <c r="E93" s="19"/>
      <c r="F93" s="20"/>
      <c r="G93" s="21"/>
      <c r="H93" s="21"/>
      <c r="I93" s="21"/>
    </row>
    <row r="94" spans="5:9" x14ac:dyDescent="0.3">
      <c r="E94" s="16"/>
      <c r="F94" s="17"/>
      <c r="G94" s="18"/>
      <c r="H94" s="18"/>
      <c r="I94" s="18"/>
    </row>
    <row r="95" spans="5:9" x14ac:dyDescent="0.3">
      <c r="E95" s="19"/>
      <c r="F95" s="20"/>
      <c r="G95" s="21"/>
      <c r="H95" s="21"/>
      <c r="I95" s="21"/>
    </row>
    <row r="96" spans="5:9" x14ac:dyDescent="0.3">
      <c r="E96" s="16"/>
      <c r="F96" s="17"/>
      <c r="G96" s="18"/>
      <c r="H96" s="18"/>
      <c r="I96" s="18"/>
    </row>
    <row r="97" spans="5:9" x14ac:dyDescent="0.3">
      <c r="E97" s="19"/>
      <c r="F97" s="20"/>
      <c r="G97" s="21"/>
      <c r="H97" s="21"/>
      <c r="I97" s="21"/>
    </row>
    <row r="98" spans="5:9" x14ac:dyDescent="0.3">
      <c r="E98" s="16"/>
      <c r="F98" s="17"/>
      <c r="G98" s="18"/>
      <c r="H98" s="18"/>
      <c r="I98" s="18"/>
    </row>
    <row r="99" spans="5:9" x14ac:dyDescent="0.3">
      <c r="E99" s="19"/>
      <c r="F99" s="20"/>
      <c r="G99" s="21"/>
      <c r="H99" s="21"/>
      <c r="I99" s="21"/>
    </row>
    <row r="100" spans="5:9" x14ac:dyDescent="0.3">
      <c r="E100" s="16"/>
      <c r="F100" s="17"/>
      <c r="G100" s="18"/>
      <c r="H100" s="18"/>
      <c r="I100" s="18"/>
    </row>
    <row r="101" spans="5:9" x14ac:dyDescent="0.3">
      <c r="E101" s="19"/>
      <c r="F101" s="20"/>
      <c r="G101" s="21"/>
      <c r="H101" s="21"/>
      <c r="I101" s="21"/>
    </row>
    <row r="102" spans="5:9" x14ac:dyDescent="0.3">
      <c r="E102" s="16"/>
      <c r="F102" s="17"/>
      <c r="G102" s="18"/>
      <c r="H102" s="18"/>
      <c r="I102" s="18"/>
    </row>
    <row r="103" spans="5:9" x14ac:dyDescent="0.3">
      <c r="E103" s="19"/>
      <c r="F103" s="20"/>
      <c r="G103" s="21"/>
      <c r="H103" s="21"/>
      <c r="I103" s="21"/>
    </row>
    <row r="104" spans="5:9" x14ac:dyDescent="0.3">
      <c r="E104" s="16"/>
      <c r="F104" s="17"/>
      <c r="G104" s="18"/>
      <c r="H104" s="18"/>
      <c r="I104" s="18"/>
    </row>
    <row r="105" spans="5:9" x14ac:dyDescent="0.3">
      <c r="E105" s="19"/>
      <c r="F105" s="20"/>
      <c r="G105" s="21"/>
      <c r="H105" s="21"/>
      <c r="I105" s="21"/>
    </row>
    <row r="106" spans="5:9" x14ac:dyDescent="0.3">
      <c r="E106" s="16"/>
      <c r="F106" s="17"/>
      <c r="G106" s="18"/>
      <c r="H106" s="18"/>
      <c r="I106" s="18"/>
    </row>
    <row r="107" spans="5:9" x14ac:dyDescent="0.3">
      <c r="E107" s="19"/>
      <c r="F107" s="20"/>
      <c r="G107" s="21"/>
      <c r="H107" s="21"/>
      <c r="I107" s="21"/>
    </row>
    <row r="108" spans="5:9" x14ac:dyDescent="0.3">
      <c r="E108" s="16"/>
      <c r="F108" s="17"/>
      <c r="G108" s="18"/>
      <c r="H108" s="18"/>
      <c r="I108" s="18"/>
    </row>
    <row r="109" spans="5:9" x14ac:dyDescent="0.3">
      <c r="E109" s="19"/>
      <c r="F109" s="20"/>
      <c r="G109" s="21"/>
      <c r="H109" s="21"/>
      <c r="I109" s="21"/>
    </row>
    <row r="110" spans="5:9" x14ac:dyDescent="0.3">
      <c r="E110" s="16"/>
      <c r="F110" s="17"/>
      <c r="G110" s="18"/>
      <c r="H110" s="18"/>
      <c r="I110" s="18"/>
    </row>
    <row r="111" spans="5:9" x14ac:dyDescent="0.3">
      <c r="E111" s="19"/>
      <c r="F111" s="20"/>
      <c r="G111" s="21"/>
      <c r="H111" s="21"/>
      <c r="I111" s="21"/>
    </row>
    <row r="112" spans="5:9" x14ac:dyDescent="0.3">
      <c r="E112" s="16"/>
      <c r="F112" s="17"/>
      <c r="G112" s="18"/>
      <c r="H112" s="18"/>
      <c r="I112" s="18"/>
    </row>
    <row r="113" spans="5:9" x14ac:dyDescent="0.3">
      <c r="E113" s="19"/>
      <c r="F113" s="20"/>
      <c r="G113" s="21"/>
      <c r="H113" s="21"/>
      <c r="I113" s="21"/>
    </row>
    <row r="114" spans="5:9" x14ac:dyDescent="0.3">
      <c r="E114" s="16"/>
      <c r="F114" s="17"/>
      <c r="G114" s="18"/>
      <c r="H114" s="18"/>
      <c r="I114" s="18"/>
    </row>
    <row r="115" spans="5:9" x14ac:dyDescent="0.3">
      <c r="E115" s="19"/>
      <c r="F115" s="20"/>
      <c r="G115" s="21"/>
      <c r="H115" s="21"/>
      <c r="I115" s="21"/>
    </row>
    <row r="116" spans="5:9" x14ac:dyDescent="0.3">
      <c r="E116" s="16"/>
      <c r="F116" s="17"/>
      <c r="G116" s="18"/>
      <c r="H116" s="18"/>
      <c r="I116" s="18"/>
    </row>
    <row r="117" spans="5:9" x14ac:dyDescent="0.3">
      <c r="E117" s="19"/>
      <c r="F117" s="20"/>
      <c r="G117" s="21"/>
      <c r="H117" s="21"/>
      <c r="I117" s="21"/>
    </row>
    <row r="118" spans="5:9" x14ac:dyDescent="0.3">
      <c r="E118" s="16"/>
      <c r="F118" s="17"/>
      <c r="G118" s="18"/>
      <c r="H118" s="18"/>
      <c r="I118" s="18"/>
    </row>
    <row r="119" spans="5:9" x14ac:dyDescent="0.3">
      <c r="E119" s="19"/>
      <c r="F119" s="20"/>
      <c r="G119" s="21"/>
      <c r="H119" s="21"/>
      <c r="I119" s="21"/>
    </row>
    <row r="120" spans="5:9" x14ac:dyDescent="0.3">
      <c r="E120" s="16"/>
      <c r="F120" s="17"/>
      <c r="G120" s="18"/>
      <c r="H120" s="18"/>
      <c r="I120" s="18"/>
    </row>
    <row r="121" spans="5:9" x14ac:dyDescent="0.3">
      <c r="E121" s="19"/>
      <c r="F121" s="20"/>
      <c r="G121" s="21"/>
      <c r="H121" s="21"/>
      <c r="I121" s="21"/>
    </row>
    <row r="122" spans="5:9" x14ac:dyDescent="0.3">
      <c r="E122" s="16"/>
      <c r="F122" s="17"/>
      <c r="G122" s="18"/>
      <c r="H122" s="18"/>
      <c r="I122" s="18"/>
    </row>
    <row r="123" spans="5:9" x14ac:dyDescent="0.3">
      <c r="E123" s="19"/>
      <c r="F123" s="20"/>
      <c r="G123" s="21"/>
      <c r="H123" s="21"/>
      <c r="I123" s="21"/>
    </row>
    <row r="124" spans="5:9" x14ac:dyDescent="0.3">
      <c r="E124" s="16"/>
      <c r="F124" s="17"/>
      <c r="G124" s="18"/>
      <c r="H124" s="18"/>
      <c r="I124" s="18"/>
    </row>
    <row r="125" spans="5:9" x14ac:dyDescent="0.3">
      <c r="E125" s="19"/>
      <c r="F125" s="20"/>
      <c r="G125" s="21"/>
      <c r="H125" s="21"/>
      <c r="I125" s="21"/>
    </row>
    <row r="126" spans="5:9" x14ac:dyDescent="0.3">
      <c r="E126" s="16"/>
      <c r="F126" s="17"/>
      <c r="G126" s="18"/>
      <c r="H126" s="18"/>
      <c r="I126" s="18"/>
    </row>
    <row r="127" spans="5:9" x14ac:dyDescent="0.3">
      <c r="E127" s="19"/>
      <c r="F127" s="20"/>
      <c r="G127" s="21"/>
      <c r="H127" s="21"/>
      <c r="I127" s="21"/>
    </row>
    <row r="128" spans="5:9" x14ac:dyDescent="0.3">
      <c r="E128" s="16"/>
      <c r="F128" s="17"/>
      <c r="G128" s="18"/>
      <c r="H128" s="18"/>
      <c r="I128" s="18"/>
    </row>
    <row r="129" spans="5:9" x14ac:dyDescent="0.3">
      <c r="E129" s="19"/>
      <c r="F129" s="20"/>
      <c r="G129" s="21"/>
      <c r="H129" s="21"/>
      <c r="I129" s="21"/>
    </row>
    <row r="130" spans="5:9" x14ac:dyDescent="0.3">
      <c r="E130" s="16"/>
      <c r="F130" s="17"/>
      <c r="G130" s="18"/>
      <c r="H130" s="18"/>
      <c r="I130" s="18"/>
    </row>
    <row r="131" spans="5:9" x14ac:dyDescent="0.3">
      <c r="E131" s="19"/>
      <c r="F131" s="20"/>
      <c r="G131" s="21"/>
      <c r="H131" s="21"/>
      <c r="I131" s="21"/>
    </row>
    <row r="132" spans="5:9" x14ac:dyDescent="0.3">
      <c r="E132" s="16"/>
      <c r="F132" s="17"/>
      <c r="G132" s="18"/>
      <c r="H132" s="18"/>
      <c r="I132" s="18"/>
    </row>
    <row r="133" spans="5:9" x14ac:dyDescent="0.3">
      <c r="E133" s="19"/>
      <c r="F133" s="20"/>
      <c r="G133" s="21"/>
      <c r="H133" s="21"/>
      <c r="I133" s="21"/>
    </row>
    <row r="134" spans="5:9" x14ac:dyDescent="0.3">
      <c r="E134" s="16"/>
      <c r="F134" s="17"/>
      <c r="G134" s="18"/>
      <c r="H134" s="18"/>
      <c r="I134" s="18"/>
    </row>
    <row r="135" spans="5:9" x14ac:dyDescent="0.3">
      <c r="E135" s="19"/>
      <c r="F135" s="20"/>
      <c r="G135" s="21"/>
      <c r="H135" s="21"/>
      <c r="I135" s="21"/>
    </row>
    <row r="136" spans="5:9" x14ac:dyDescent="0.3">
      <c r="E136" s="16"/>
      <c r="F136" s="17"/>
      <c r="G136" s="18"/>
      <c r="H136" s="18"/>
      <c r="I136" s="18"/>
    </row>
    <row r="137" spans="5:9" x14ac:dyDescent="0.3">
      <c r="E137" s="19"/>
      <c r="F137" s="20"/>
      <c r="G137" s="21"/>
      <c r="H137" s="21"/>
      <c r="I137" s="21"/>
    </row>
    <row r="138" spans="5:9" x14ac:dyDescent="0.3">
      <c r="E138" s="16"/>
      <c r="F138" s="17"/>
      <c r="G138" s="18"/>
      <c r="H138" s="18"/>
      <c r="I138" s="18"/>
    </row>
    <row r="139" spans="5:9" x14ac:dyDescent="0.3">
      <c r="E139" s="19"/>
      <c r="F139" s="20"/>
      <c r="G139" s="21"/>
      <c r="H139" s="21"/>
      <c r="I139" s="21"/>
    </row>
    <row r="140" spans="5:9" x14ac:dyDescent="0.3">
      <c r="E140" s="16"/>
      <c r="F140" s="17"/>
      <c r="G140" s="18"/>
      <c r="H140" s="18"/>
      <c r="I140" s="18"/>
    </row>
    <row r="141" spans="5:9" x14ac:dyDescent="0.3">
      <c r="E141" s="19"/>
      <c r="F141" s="20"/>
      <c r="G141" s="21"/>
      <c r="H141" s="21"/>
      <c r="I141" s="21"/>
    </row>
    <row r="142" spans="5:9" x14ac:dyDescent="0.3">
      <c r="E142" s="16"/>
      <c r="F142" s="17"/>
      <c r="G142" s="18"/>
      <c r="H142" s="18"/>
      <c r="I142" s="18"/>
    </row>
    <row r="143" spans="5:9" x14ac:dyDescent="0.3">
      <c r="E143" s="19"/>
      <c r="F143" s="20"/>
      <c r="G143" s="21"/>
      <c r="H143" s="21"/>
      <c r="I143" s="21"/>
    </row>
    <row r="144" spans="5:9" x14ac:dyDescent="0.3">
      <c r="E144" s="16"/>
      <c r="F144" s="17"/>
      <c r="G144" s="18"/>
      <c r="H144" s="18"/>
      <c r="I144" s="18"/>
    </row>
    <row r="145" spans="5:9" x14ac:dyDescent="0.3">
      <c r="E145" s="19"/>
      <c r="F145" s="20"/>
      <c r="G145" s="21"/>
      <c r="H145" s="21"/>
      <c r="I145" s="21"/>
    </row>
    <row r="146" spans="5:9" x14ac:dyDescent="0.3">
      <c r="E146" s="16"/>
      <c r="F146" s="17"/>
      <c r="G146" s="18"/>
      <c r="H146" s="18"/>
      <c r="I146" s="18"/>
    </row>
    <row r="147" spans="5:9" x14ac:dyDescent="0.3">
      <c r="E147" s="19"/>
      <c r="F147" s="20"/>
      <c r="G147" s="21"/>
      <c r="H147" s="21"/>
      <c r="I147" s="21"/>
    </row>
    <row r="148" spans="5:9" x14ac:dyDescent="0.3">
      <c r="E148" s="16"/>
      <c r="F148" s="17"/>
      <c r="G148" s="18"/>
      <c r="H148" s="18"/>
      <c r="I148" s="18"/>
    </row>
    <row r="149" spans="5:9" x14ac:dyDescent="0.3">
      <c r="E149" s="19"/>
      <c r="F149" s="20"/>
      <c r="G149" s="21"/>
      <c r="H149" s="21"/>
      <c r="I149" s="21"/>
    </row>
    <row r="150" spans="5:9" x14ac:dyDescent="0.3">
      <c r="E150" s="16"/>
      <c r="F150" s="17"/>
      <c r="G150" s="18"/>
      <c r="H150" s="18"/>
      <c r="I150" s="18"/>
    </row>
    <row r="151" spans="5:9" x14ac:dyDescent="0.3">
      <c r="E151" s="19"/>
      <c r="F151" s="20"/>
      <c r="G151" s="21"/>
      <c r="H151" s="21"/>
      <c r="I151" s="21"/>
    </row>
    <row r="152" spans="5:9" x14ac:dyDescent="0.3">
      <c r="E152" s="16"/>
      <c r="F152" s="17"/>
      <c r="G152" s="18"/>
      <c r="H152" s="18"/>
      <c r="I152" s="18"/>
    </row>
    <row r="153" spans="5:9" x14ac:dyDescent="0.3">
      <c r="E153" s="19"/>
      <c r="F153" s="20"/>
      <c r="G153" s="21"/>
      <c r="H153" s="21"/>
      <c r="I153" s="21"/>
    </row>
    <row r="154" spans="5:9" x14ac:dyDescent="0.3">
      <c r="E154" s="16"/>
      <c r="F154" s="17"/>
      <c r="G154" s="18"/>
      <c r="H154" s="18"/>
      <c r="I154" s="18"/>
    </row>
    <row r="155" spans="5:9" x14ac:dyDescent="0.3">
      <c r="E155" s="19"/>
      <c r="F155" s="20"/>
      <c r="G155" s="21"/>
      <c r="H155" s="21"/>
      <c r="I155" s="21"/>
    </row>
    <row r="156" spans="5:9" x14ac:dyDescent="0.3">
      <c r="E156" s="16"/>
      <c r="F156" s="17"/>
      <c r="G156" s="18"/>
      <c r="H156" s="18"/>
      <c r="I156" s="18"/>
    </row>
    <row r="157" spans="5:9" x14ac:dyDescent="0.3">
      <c r="E157" s="19"/>
      <c r="F157" s="20"/>
      <c r="G157" s="21"/>
      <c r="H157" s="21"/>
      <c r="I157" s="21"/>
    </row>
    <row r="158" spans="5:9" x14ac:dyDescent="0.3">
      <c r="E158" s="16"/>
      <c r="F158" s="17"/>
      <c r="G158" s="18"/>
      <c r="H158" s="18"/>
      <c r="I158" s="18"/>
    </row>
    <row r="159" spans="5:9" x14ac:dyDescent="0.3">
      <c r="E159" s="19"/>
      <c r="F159" s="20"/>
      <c r="G159" s="21"/>
      <c r="H159" s="21"/>
      <c r="I159" s="21"/>
    </row>
    <row r="160" spans="5:9" x14ac:dyDescent="0.3">
      <c r="E160" s="16"/>
      <c r="F160" s="17"/>
      <c r="G160" s="18"/>
      <c r="H160" s="18"/>
      <c r="I160" s="18"/>
    </row>
    <row r="161" spans="5:9" x14ac:dyDescent="0.3">
      <c r="E161" s="19"/>
      <c r="F161" s="20"/>
      <c r="G161" s="21"/>
      <c r="H161" s="21"/>
      <c r="I161" s="21"/>
    </row>
    <row r="162" spans="5:9" x14ac:dyDescent="0.3">
      <c r="E162" s="16"/>
      <c r="F162" s="17"/>
      <c r="G162" s="18"/>
      <c r="H162" s="18"/>
      <c r="I162" s="18"/>
    </row>
    <row r="163" spans="5:9" x14ac:dyDescent="0.3">
      <c r="E163" s="19"/>
      <c r="F163" s="20"/>
      <c r="G163" s="21"/>
      <c r="H163" s="21"/>
      <c r="I163" s="21"/>
    </row>
    <row r="164" spans="5:9" x14ac:dyDescent="0.3">
      <c r="E164" s="16"/>
      <c r="F164" s="17"/>
      <c r="G164" s="18"/>
      <c r="H164" s="18"/>
      <c r="I164" s="18"/>
    </row>
    <row r="165" spans="5:9" x14ac:dyDescent="0.3">
      <c r="E165" s="19"/>
      <c r="F165" s="20"/>
      <c r="G165" s="21"/>
      <c r="H165" s="21"/>
      <c r="I165" s="21"/>
    </row>
    <row r="166" spans="5:9" x14ac:dyDescent="0.3">
      <c r="E166" s="16"/>
      <c r="F166" s="17"/>
      <c r="G166" s="18"/>
      <c r="H166" s="18"/>
      <c r="I166" s="18"/>
    </row>
    <row r="167" spans="5:9" x14ac:dyDescent="0.3">
      <c r="E167" s="19"/>
      <c r="F167" s="20"/>
      <c r="G167" s="21"/>
      <c r="H167" s="21"/>
      <c r="I167" s="21"/>
    </row>
    <row r="168" spans="5:9" x14ac:dyDescent="0.3">
      <c r="E168" s="16"/>
      <c r="F168" s="17"/>
      <c r="G168" s="18"/>
      <c r="H168" s="18"/>
      <c r="I168" s="18"/>
    </row>
    <row r="169" spans="5:9" x14ac:dyDescent="0.3">
      <c r="E169" s="19"/>
      <c r="F169" s="20"/>
      <c r="G169" s="21"/>
      <c r="H169" s="21"/>
      <c r="I169" s="21"/>
    </row>
    <row r="170" spans="5:9" x14ac:dyDescent="0.3">
      <c r="E170" s="16"/>
      <c r="F170" s="17"/>
      <c r="G170" s="18"/>
      <c r="H170" s="18"/>
      <c r="I170" s="18"/>
    </row>
    <row r="171" spans="5:9" x14ac:dyDescent="0.3">
      <c r="E171" s="19"/>
      <c r="F171" s="20"/>
      <c r="G171" s="21"/>
      <c r="H171" s="21"/>
      <c r="I171" s="21"/>
    </row>
    <row r="172" spans="5:9" x14ac:dyDescent="0.3">
      <c r="E172" s="16"/>
      <c r="F172" s="17"/>
      <c r="G172" s="18"/>
      <c r="H172" s="18"/>
      <c r="I172" s="18"/>
    </row>
    <row r="173" spans="5:9" x14ac:dyDescent="0.3">
      <c r="E173" s="19"/>
      <c r="F173" s="20"/>
      <c r="G173" s="21"/>
      <c r="H173" s="21"/>
      <c r="I173" s="21"/>
    </row>
    <row r="174" spans="5:9" x14ac:dyDescent="0.3">
      <c r="E174" s="16"/>
      <c r="F174" s="17"/>
      <c r="G174" s="18"/>
      <c r="H174" s="18"/>
      <c r="I174" s="18"/>
    </row>
    <row r="175" spans="5:9" x14ac:dyDescent="0.3">
      <c r="E175" s="19"/>
      <c r="F175" s="20"/>
      <c r="G175" s="21"/>
      <c r="H175" s="21"/>
      <c r="I175" s="21"/>
    </row>
    <row r="176" spans="5:9" x14ac:dyDescent="0.3">
      <c r="E176" s="16"/>
      <c r="F176" s="17"/>
      <c r="G176" s="18"/>
      <c r="H176" s="18"/>
      <c r="I176" s="18"/>
    </row>
    <row r="177" spans="5:9" x14ac:dyDescent="0.3">
      <c r="E177" s="19"/>
      <c r="F177" s="20"/>
      <c r="G177" s="21"/>
      <c r="H177" s="21"/>
      <c r="I177" s="21"/>
    </row>
    <row r="178" spans="5:9" x14ac:dyDescent="0.3">
      <c r="E178" s="16"/>
      <c r="F178" s="17"/>
      <c r="G178" s="18"/>
      <c r="H178" s="18"/>
      <c r="I178" s="18"/>
    </row>
    <row r="179" spans="5:9" x14ac:dyDescent="0.3">
      <c r="E179" s="19"/>
      <c r="F179" s="20"/>
      <c r="G179" s="21"/>
      <c r="H179" s="21"/>
      <c r="I179" s="21"/>
    </row>
    <row r="180" spans="5:9" x14ac:dyDescent="0.3">
      <c r="E180" s="16"/>
      <c r="F180" s="17"/>
      <c r="G180" s="18"/>
      <c r="H180" s="18"/>
      <c r="I180" s="18"/>
    </row>
    <row r="181" spans="5:9" x14ac:dyDescent="0.3">
      <c r="E181" s="19"/>
      <c r="F181" s="20"/>
      <c r="G181" s="21"/>
      <c r="H181" s="21"/>
      <c r="I181" s="21"/>
    </row>
    <row r="182" spans="5:9" x14ac:dyDescent="0.3">
      <c r="E182" s="16"/>
      <c r="F182" s="17"/>
      <c r="G182" s="18"/>
      <c r="H182" s="18"/>
      <c r="I182" s="18"/>
    </row>
    <row r="183" spans="5:9" x14ac:dyDescent="0.3">
      <c r="E183" s="19"/>
      <c r="F183" s="20"/>
      <c r="G183" s="21"/>
      <c r="H183" s="21"/>
      <c r="I183" s="21"/>
    </row>
    <row r="184" spans="5:9" x14ac:dyDescent="0.3">
      <c r="E184" s="16"/>
      <c r="F184" s="17"/>
      <c r="G184" s="18"/>
      <c r="H184" s="18"/>
      <c r="I184" s="18"/>
    </row>
    <row r="185" spans="5:9" x14ac:dyDescent="0.3">
      <c r="E185" s="19"/>
      <c r="F185" s="20"/>
      <c r="G185" s="21"/>
      <c r="H185" s="21"/>
      <c r="I185" s="21"/>
    </row>
    <row r="186" spans="5:9" x14ac:dyDescent="0.3">
      <c r="E186" s="16"/>
      <c r="F186" s="17"/>
      <c r="G186" s="18"/>
      <c r="H186" s="18"/>
      <c r="I186" s="18"/>
    </row>
    <row r="187" spans="5:9" x14ac:dyDescent="0.3">
      <c r="E187" s="19"/>
      <c r="F187" s="20"/>
      <c r="G187" s="21"/>
      <c r="H187" s="21"/>
      <c r="I187" s="21"/>
    </row>
    <row r="188" spans="5:9" x14ac:dyDescent="0.3">
      <c r="E188" s="16"/>
      <c r="F188" s="17"/>
      <c r="G188" s="18"/>
      <c r="H188" s="18"/>
      <c r="I188" s="18"/>
    </row>
    <row r="189" spans="5:9" x14ac:dyDescent="0.3">
      <c r="E189" s="19"/>
      <c r="F189" s="20"/>
      <c r="G189" s="21"/>
      <c r="H189" s="21"/>
      <c r="I189" s="21"/>
    </row>
    <row r="190" spans="5:9" x14ac:dyDescent="0.3">
      <c r="E190" s="16"/>
      <c r="F190" s="17"/>
      <c r="G190" s="18"/>
      <c r="H190" s="18"/>
      <c r="I190" s="18"/>
    </row>
    <row r="191" spans="5:9" x14ac:dyDescent="0.3">
      <c r="E191" s="19"/>
      <c r="F191" s="20"/>
      <c r="G191" s="21"/>
      <c r="H191" s="21"/>
      <c r="I191" s="21"/>
    </row>
    <row r="192" spans="5:9" x14ac:dyDescent="0.3">
      <c r="E192" s="16"/>
      <c r="F192" s="17"/>
      <c r="G192" s="18"/>
      <c r="H192" s="18"/>
      <c r="I192" s="18"/>
    </row>
    <row r="193" spans="5:9" x14ac:dyDescent="0.3">
      <c r="E193" s="19"/>
      <c r="F193" s="20"/>
      <c r="G193" s="21"/>
      <c r="H193" s="21"/>
      <c r="I193" s="21"/>
    </row>
    <row r="194" spans="5:9" x14ac:dyDescent="0.3">
      <c r="E194" s="16"/>
      <c r="F194" s="17"/>
      <c r="G194" s="18"/>
      <c r="H194" s="18"/>
      <c r="I194" s="18"/>
    </row>
    <row r="195" spans="5:9" x14ac:dyDescent="0.3">
      <c r="E195" s="19"/>
      <c r="F195" s="20"/>
      <c r="G195" s="21"/>
      <c r="H195" s="21"/>
      <c r="I195" s="21"/>
    </row>
    <row r="196" spans="5:9" x14ac:dyDescent="0.3">
      <c r="E196" s="16"/>
      <c r="F196" s="17"/>
      <c r="G196" s="18"/>
      <c r="H196" s="18"/>
      <c r="I196" s="18"/>
    </row>
    <row r="197" spans="5:9" x14ac:dyDescent="0.3">
      <c r="E197" s="19"/>
      <c r="F197" s="20"/>
      <c r="G197" s="21"/>
      <c r="H197" s="21"/>
      <c r="I197" s="21"/>
    </row>
    <row r="198" spans="5:9" x14ac:dyDescent="0.3">
      <c r="E198" s="16"/>
      <c r="F198" s="17"/>
      <c r="G198" s="18"/>
      <c r="H198" s="18"/>
      <c r="I198" s="18"/>
    </row>
    <row r="199" spans="5:9" x14ac:dyDescent="0.3">
      <c r="E199" s="19"/>
      <c r="F199" s="20"/>
      <c r="G199" s="21"/>
      <c r="H199" s="21"/>
      <c r="I199" s="21"/>
    </row>
    <row r="200" spans="5:9" x14ac:dyDescent="0.3">
      <c r="E200" s="16"/>
      <c r="F200" s="17"/>
      <c r="G200" s="18"/>
      <c r="H200" s="18"/>
      <c r="I200" s="18"/>
    </row>
  </sheetData>
  <mergeCells count="9">
    <mergeCell ref="E11:I11"/>
    <mergeCell ref="E14:I14"/>
    <mergeCell ref="E16:I16"/>
    <mergeCell ref="E1:I1"/>
    <mergeCell ref="E5:I5"/>
    <mergeCell ref="E6:G6"/>
    <mergeCell ref="E7:G7"/>
    <mergeCell ref="E8:G8"/>
    <mergeCell ref="E9:G9"/>
  </mergeCells>
  <conditionalFormatting sqref="G13">
    <cfRule type="cellIs" dxfId="1" priority="1" operator="lessThan">
      <formula>0</formula>
    </cfRule>
  </conditionalFormatting>
  <dataValidations count="2">
    <dataValidation type="list" allowBlank="1" sqref="H18:H200" xr:uid="{E1880848-DF5E-4300-8B08-3B36A64557A5}">
      <formula1>"Gabriel,Beatriz,Os dois"</formula1>
    </dataValidation>
    <dataValidation type="list" allowBlank="1" sqref="G18:G200 I26" xr:uid="{91745AEB-4EB8-411B-959F-61B1498B4EE6}">
      <formula1>"Moradia,Alimentação,Transporte,Saúde,Lazer,Educação,Contas (luz/água/internet),Mercado,Assinaturas,Filhos/Pets,Vestuário,Outros"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200"/>
  <sheetViews>
    <sheetView showGridLines="0" topLeftCell="A9" zoomScale="83" zoomScaleNormal="83" workbookViewId="0">
      <selection activeCell="F32" sqref="F32"/>
    </sheetView>
  </sheetViews>
  <sheetFormatPr defaultRowHeight="14.4" x14ac:dyDescent="0.3"/>
  <cols>
    <col min="3" max="3" width="6" customWidth="1"/>
    <col min="4" max="4" width="2.6640625" hidden="1" customWidth="1"/>
    <col min="5" max="5" width="28.6640625" customWidth="1"/>
    <col min="6" max="6" width="29" customWidth="1"/>
    <col min="7" max="7" width="33.6640625" customWidth="1"/>
    <col min="8" max="8" width="25.33203125" customWidth="1"/>
    <col min="9" max="9" width="33.5546875" customWidth="1"/>
    <col min="10" max="10" width="4" customWidth="1"/>
  </cols>
  <sheetData>
    <row r="1" spans="5:9" ht="40.200000000000003" customHeight="1" x14ac:dyDescent="0.3">
      <c r="E1" s="45" t="s">
        <v>29</v>
      </c>
      <c r="F1" s="46"/>
      <c r="G1" s="46"/>
      <c r="H1" s="46"/>
      <c r="I1" s="46"/>
    </row>
    <row r="3" spans="5:9" x14ac:dyDescent="0.3">
      <c r="E3" s="1" t="s">
        <v>30</v>
      </c>
      <c r="F3" s="2">
        <v>46296</v>
      </c>
      <c r="G3" s="3" t="s">
        <v>31</v>
      </c>
    </row>
    <row r="5" spans="5:9" ht="25.95" customHeight="1" x14ac:dyDescent="0.3">
      <c r="E5" s="47" t="s">
        <v>32</v>
      </c>
      <c r="F5" s="46"/>
      <c r="G5" s="46"/>
      <c r="H5" s="46"/>
      <c r="I5" s="46"/>
    </row>
    <row r="6" spans="5:9" ht="22.2" customHeight="1" x14ac:dyDescent="0.3">
      <c r="E6" s="49" t="s">
        <v>33</v>
      </c>
      <c r="F6" s="46"/>
      <c r="G6" s="46"/>
      <c r="H6" s="4">
        <v>3500</v>
      </c>
      <c r="I6" s="5"/>
    </row>
    <row r="7" spans="5:9" ht="22.2" customHeight="1" x14ac:dyDescent="0.3">
      <c r="E7" s="49" t="s">
        <v>34</v>
      </c>
      <c r="F7" s="46"/>
      <c r="G7" s="46"/>
      <c r="H7" s="4">
        <v>4000</v>
      </c>
      <c r="I7" s="5"/>
    </row>
    <row r="8" spans="5:9" ht="22.2" customHeight="1" x14ac:dyDescent="0.3">
      <c r="E8" s="49" t="s">
        <v>35</v>
      </c>
      <c r="F8" s="46"/>
      <c r="G8" s="46"/>
      <c r="H8" s="4">
        <v>1200</v>
      </c>
      <c r="I8" s="5"/>
    </row>
    <row r="9" spans="5:9" ht="24" customHeight="1" x14ac:dyDescent="0.3">
      <c r="E9" s="52" t="s">
        <v>36</v>
      </c>
      <c r="F9" s="46"/>
      <c r="G9" s="46"/>
      <c r="H9" s="6">
        <f>SUM(H6:H8)</f>
        <v>8700</v>
      </c>
      <c r="I9" s="5"/>
    </row>
    <row r="11" spans="5:9" ht="25.95" customHeight="1" x14ac:dyDescent="0.3">
      <c r="E11" s="51" t="s">
        <v>37</v>
      </c>
      <c r="F11" s="46"/>
      <c r="G11" s="46"/>
      <c r="H11" s="46"/>
      <c r="I11" s="46"/>
    </row>
    <row r="12" spans="5:9" ht="34.200000000000003" customHeight="1" x14ac:dyDescent="0.3">
      <c r="E12" s="7" t="s">
        <v>38</v>
      </c>
      <c r="F12" s="8" t="s">
        <v>39</v>
      </c>
      <c r="G12" s="9" t="s">
        <v>40</v>
      </c>
      <c r="H12" s="10" t="s">
        <v>41</v>
      </c>
    </row>
    <row r="13" spans="5:9" ht="34.200000000000003" customHeight="1" x14ac:dyDescent="0.3">
      <c r="E13" s="11">
        <f>H9</f>
        <v>8700</v>
      </c>
      <c r="F13" s="12">
        <f>SUM(F18:F200)</f>
        <v>4240</v>
      </c>
      <c r="G13" s="13">
        <f>H9-SUM(F18:F200)</f>
        <v>4460</v>
      </c>
      <c r="H13" s="14">
        <f ca="1">(H9-SUM(F18:F200))/MAX(1,DAY(EOMONTH(F3,0))-DAY(TODAY())+1)</f>
        <v>178.4</v>
      </c>
    </row>
    <row r="14" spans="5:9" x14ac:dyDescent="0.3">
      <c r="E14" s="48" t="s">
        <v>42</v>
      </c>
      <c r="F14" s="46"/>
      <c r="G14" s="46"/>
      <c r="H14" s="46"/>
      <c r="I14" s="46"/>
    </row>
    <row r="16" spans="5:9" ht="25.95" customHeight="1" x14ac:dyDescent="0.3">
      <c r="E16" s="50" t="s">
        <v>43</v>
      </c>
      <c r="F16" s="46"/>
      <c r="G16" s="46"/>
      <c r="H16" s="46"/>
      <c r="I16" s="46"/>
    </row>
    <row r="17" spans="5:12" ht="22.2" customHeight="1" x14ac:dyDescent="0.3">
      <c r="E17" s="15" t="s">
        <v>44</v>
      </c>
      <c r="F17" s="15" t="s">
        <v>45</v>
      </c>
      <c r="G17" s="15" t="s">
        <v>9</v>
      </c>
      <c r="H17" s="15" t="s">
        <v>46</v>
      </c>
      <c r="I17" s="15" t="s">
        <v>47</v>
      </c>
    </row>
    <row r="18" spans="5:12" x14ac:dyDescent="0.3">
      <c r="E18" s="16">
        <v>46295</v>
      </c>
      <c r="F18" s="17">
        <v>1500</v>
      </c>
      <c r="G18" s="18" t="s">
        <v>12</v>
      </c>
      <c r="H18" s="18" t="s">
        <v>26</v>
      </c>
      <c r="I18" s="18" t="s">
        <v>48</v>
      </c>
    </row>
    <row r="19" spans="5:12" x14ac:dyDescent="0.3">
      <c r="E19" s="19"/>
      <c r="F19" s="20"/>
      <c r="G19" s="21" t="s">
        <v>18</v>
      </c>
      <c r="H19" s="21" t="s">
        <v>26</v>
      </c>
      <c r="I19" s="21" t="s">
        <v>49</v>
      </c>
    </row>
    <row r="20" spans="5:12" x14ac:dyDescent="0.3">
      <c r="E20" s="16"/>
      <c r="F20" s="17"/>
      <c r="G20" s="18" t="s">
        <v>18</v>
      </c>
      <c r="H20" s="18" t="s">
        <v>26</v>
      </c>
      <c r="I20" s="18" t="s">
        <v>50</v>
      </c>
      <c r="L20" s="44"/>
    </row>
    <row r="21" spans="5:12" x14ac:dyDescent="0.3">
      <c r="E21" s="19"/>
      <c r="F21" s="20">
        <v>400</v>
      </c>
      <c r="G21" s="21" t="s">
        <v>14</v>
      </c>
      <c r="H21" s="21" t="s">
        <v>26</v>
      </c>
      <c r="I21" s="21" t="s">
        <v>51</v>
      </c>
    </row>
    <row r="22" spans="5:12" x14ac:dyDescent="0.3">
      <c r="E22" s="16"/>
      <c r="F22" s="17">
        <v>100</v>
      </c>
      <c r="G22" s="18" t="s">
        <v>14</v>
      </c>
      <c r="H22" s="18" t="s">
        <v>26</v>
      </c>
      <c r="I22" s="18" t="s">
        <v>52</v>
      </c>
    </row>
    <row r="23" spans="5:12" x14ac:dyDescent="0.3">
      <c r="E23" s="19"/>
      <c r="F23" s="20">
        <v>800</v>
      </c>
      <c r="G23" s="21" t="s">
        <v>53</v>
      </c>
      <c r="H23" s="21" t="s">
        <v>26</v>
      </c>
      <c r="I23" s="21" t="s">
        <v>54</v>
      </c>
    </row>
    <row r="24" spans="5:12" ht="13.95" customHeight="1" x14ac:dyDescent="0.3">
      <c r="E24" s="16"/>
      <c r="F24" s="17">
        <v>250</v>
      </c>
      <c r="G24" s="18" t="s">
        <v>17</v>
      </c>
      <c r="H24" s="18" t="s">
        <v>26</v>
      </c>
      <c r="I24" s="18" t="s">
        <v>55</v>
      </c>
    </row>
    <row r="25" spans="5:12" x14ac:dyDescent="0.3">
      <c r="E25" s="19"/>
      <c r="F25" s="20">
        <v>850</v>
      </c>
      <c r="G25" s="21" t="s">
        <v>56</v>
      </c>
      <c r="H25" s="21" t="s">
        <v>26</v>
      </c>
      <c r="I25" s="21" t="s">
        <v>57</v>
      </c>
    </row>
    <row r="26" spans="5:12" x14ac:dyDescent="0.3">
      <c r="E26" s="16"/>
      <c r="F26" s="17"/>
      <c r="G26" s="18" t="s">
        <v>22</v>
      </c>
      <c r="H26" s="18" t="s">
        <v>26</v>
      </c>
      <c r="I26" s="18" t="s">
        <v>58</v>
      </c>
    </row>
    <row r="27" spans="5:12" x14ac:dyDescent="0.3">
      <c r="E27" s="19"/>
      <c r="F27" s="20">
        <v>140</v>
      </c>
      <c r="G27" s="21" t="s">
        <v>18</v>
      </c>
      <c r="H27" s="21" t="s">
        <v>26</v>
      </c>
      <c r="I27" s="21" t="s">
        <v>59</v>
      </c>
    </row>
    <row r="28" spans="5:12" x14ac:dyDescent="0.3">
      <c r="E28" s="16"/>
      <c r="F28" s="17"/>
      <c r="G28" s="18" t="s">
        <v>14</v>
      </c>
      <c r="H28" s="18" t="s">
        <v>26</v>
      </c>
      <c r="I28" s="18" t="s">
        <v>60</v>
      </c>
    </row>
    <row r="29" spans="5:12" ht="13.8" customHeight="1" x14ac:dyDescent="0.3">
      <c r="E29" s="19"/>
      <c r="F29" s="20"/>
      <c r="G29" s="21" t="s">
        <v>15</v>
      </c>
      <c r="H29" s="21" t="s">
        <v>26</v>
      </c>
      <c r="I29" s="21" t="s">
        <v>61</v>
      </c>
    </row>
    <row r="30" spans="5:12" x14ac:dyDescent="0.3">
      <c r="E30" s="16"/>
      <c r="F30" s="17">
        <v>200</v>
      </c>
      <c r="G30" s="18" t="s">
        <v>16</v>
      </c>
      <c r="H30" s="18" t="s">
        <v>26</v>
      </c>
      <c r="I30" s="18" t="s">
        <v>63</v>
      </c>
    </row>
    <row r="31" spans="5:12" x14ac:dyDescent="0.3">
      <c r="E31" s="19"/>
      <c r="F31" s="20"/>
      <c r="G31" s="21" t="s">
        <v>15</v>
      </c>
      <c r="H31" s="21" t="s">
        <v>26</v>
      </c>
      <c r="I31" s="21" t="s">
        <v>62</v>
      </c>
    </row>
    <row r="32" spans="5:12" x14ac:dyDescent="0.3">
      <c r="E32" s="16"/>
      <c r="F32" s="17"/>
      <c r="G32" s="18" t="s">
        <v>64</v>
      </c>
      <c r="H32" s="18" t="s">
        <v>26</v>
      </c>
      <c r="I32" s="18" t="s">
        <v>65</v>
      </c>
    </row>
    <row r="33" spans="5:9" x14ac:dyDescent="0.3">
      <c r="E33" s="19"/>
      <c r="F33" s="20"/>
      <c r="G33" s="21"/>
      <c r="H33" s="21"/>
      <c r="I33" s="21"/>
    </row>
    <row r="34" spans="5:9" x14ac:dyDescent="0.3">
      <c r="E34" s="16"/>
      <c r="F34" s="17"/>
      <c r="G34" s="18"/>
      <c r="H34" s="18"/>
      <c r="I34" s="18"/>
    </row>
    <row r="35" spans="5:9" x14ac:dyDescent="0.3">
      <c r="E35" s="19"/>
      <c r="F35" s="20"/>
      <c r="G35" s="21"/>
      <c r="H35" s="21"/>
      <c r="I35" s="21"/>
    </row>
    <row r="36" spans="5:9" x14ac:dyDescent="0.3">
      <c r="E36" s="16"/>
      <c r="F36" s="17"/>
      <c r="G36" s="18"/>
      <c r="H36" s="18"/>
      <c r="I36" s="18"/>
    </row>
    <row r="37" spans="5:9" x14ac:dyDescent="0.3">
      <c r="E37" s="19"/>
      <c r="F37" s="20"/>
      <c r="G37" s="21"/>
      <c r="H37" s="21"/>
      <c r="I37" s="21"/>
    </row>
    <row r="38" spans="5:9" x14ac:dyDescent="0.3">
      <c r="E38" s="16"/>
      <c r="F38" s="17"/>
      <c r="G38" s="18"/>
      <c r="H38" s="18"/>
      <c r="I38" s="18"/>
    </row>
    <row r="39" spans="5:9" x14ac:dyDescent="0.3">
      <c r="E39" s="19"/>
      <c r="F39" s="20"/>
      <c r="G39" s="21"/>
      <c r="H39" s="21"/>
      <c r="I39" s="21"/>
    </row>
    <row r="40" spans="5:9" x14ac:dyDescent="0.3">
      <c r="E40" s="16"/>
      <c r="F40" s="17"/>
      <c r="G40" s="18"/>
      <c r="H40" s="18"/>
      <c r="I40" s="18"/>
    </row>
    <row r="41" spans="5:9" x14ac:dyDescent="0.3">
      <c r="E41" s="19"/>
      <c r="F41" s="20"/>
      <c r="G41" s="21"/>
      <c r="H41" s="21"/>
      <c r="I41" s="21"/>
    </row>
    <row r="42" spans="5:9" x14ac:dyDescent="0.3">
      <c r="E42" s="16"/>
      <c r="F42" s="17"/>
      <c r="G42" s="18"/>
      <c r="H42" s="18"/>
      <c r="I42" s="18"/>
    </row>
    <row r="43" spans="5:9" x14ac:dyDescent="0.3">
      <c r="E43" s="19"/>
      <c r="F43" s="20"/>
      <c r="G43" s="21"/>
      <c r="H43" s="21"/>
      <c r="I43" s="21"/>
    </row>
    <row r="44" spans="5:9" x14ac:dyDescent="0.3">
      <c r="E44" s="16"/>
      <c r="F44" s="17"/>
      <c r="G44" s="18"/>
      <c r="H44" s="18"/>
      <c r="I44" s="18"/>
    </row>
    <row r="45" spans="5:9" x14ac:dyDescent="0.3">
      <c r="E45" s="19"/>
      <c r="F45" s="20"/>
      <c r="G45" s="21"/>
      <c r="H45" s="21"/>
      <c r="I45" s="21"/>
    </row>
    <row r="46" spans="5:9" x14ac:dyDescent="0.3">
      <c r="E46" s="16"/>
      <c r="F46" s="17"/>
      <c r="G46" s="18"/>
      <c r="H46" s="18"/>
      <c r="I46" s="18"/>
    </row>
    <row r="47" spans="5:9" x14ac:dyDescent="0.3">
      <c r="E47" s="19"/>
      <c r="F47" s="20"/>
      <c r="G47" s="21"/>
      <c r="H47" s="21"/>
      <c r="I47" s="21"/>
    </row>
    <row r="48" spans="5:9" x14ac:dyDescent="0.3">
      <c r="E48" s="16"/>
      <c r="F48" s="17"/>
      <c r="G48" s="18"/>
      <c r="H48" s="18"/>
      <c r="I48" s="18"/>
    </row>
    <row r="49" spans="5:9" x14ac:dyDescent="0.3">
      <c r="E49" s="19"/>
      <c r="F49" s="20"/>
      <c r="G49" s="21"/>
      <c r="H49" s="21"/>
      <c r="I49" s="21"/>
    </row>
    <row r="50" spans="5:9" x14ac:dyDescent="0.3">
      <c r="E50" s="16"/>
      <c r="F50" s="17"/>
      <c r="G50" s="18"/>
      <c r="H50" s="18"/>
      <c r="I50" s="18"/>
    </row>
    <row r="51" spans="5:9" x14ac:dyDescent="0.3">
      <c r="E51" s="19"/>
      <c r="F51" s="20"/>
      <c r="G51" s="21"/>
      <c r="H51" s="21"/>
      <c r="I51" s="21"/>
    </row>
    <row r="52" spans="5:9" x14ac:dyDescent="0.3">
      <c r="E52" s="16"/>
      <c r="F52" s="17"/>
      <c r="G52" s="18"/>
      <c r="H52" s="18"/>
      <c r="I52" s="18"/>
    </row>
    <row r="53" spans="5:9" x14ac:dyDescent="0.3">
      <c r="E53" s="19"/>
      <c r="F53" s="20"/>
      <c r="G53" s="21"/>
      <c r="H53" s="21"/>
      <c r="I53" s="21"/>
    </row>
    <row r="54" spans="5:9" x14ac:dyDescent="0.3">
      <c r="E54" s="16"/>
      <c r="F54" s="17"/>
      <c r="G54" s="18"/>
      <c r="H54" s="18"/>
      <c r="I54" s="18"/>
    </row>
    <row r="55" spans="5:9" x14ac:dyDescent="0.3">
      <c r="E55" s="19"/>
      <c r="F55" s="20"/>
      <c r="G55" s="21"/>
      <c r="H55" s="21"/>
      <c r="I55" s="21"/>
    </row>
    <row r="56" spans="5:9" x14ac:dyDescent="0.3">
      <c r="E56" s="16"/>
      <c r="F56" s="17"/>
      <c r="G56" s="18"/>
      <c r="H56" s="18"/>
      <c r="I56" s="18"/>
    </row>
    <row r="57" spans="5:9" x14ac:dyDescent="0.3">
      <c r="E57" s="19"/>
      <c r="F57" s="20"/>
      <c r="G57" s="21"/>
      <c r="H57" s="21"/>
      <c r="I57" s="21"/>
    </row>
    <row r="58" spans="5:9" x14ac:dyDescent="0.3">
      <c r="E58" s="16"/>
      <c r="F58" s="17"/>
      <c r="G58" s="18"/>
      <c r="H58" s="18"/>
      <c r="I58" s="18"/>
    </row>
    <row r="59" spans="5:9" x14ac:dyDescent="0.3">
      <c r="E59" s="19"/>
      <c r="F59" s="20"/>
      <c r="G59" s="21"/>
      <c r="H59" s="21"/>
      <c r="I59" s="21"/>
    </row>
    <row r="60" spans="5:9" x14ac:dyDescent="0.3">
      <c r="E60" s="16"/>
      <c r="F60" s="17"/>
      <c r="G60" s="18"/>
      <c r="H60" s="18"/>
      <c r="I60" s="18"/>
    </row>
    <row r="61" spans="5:9" x14ac:dyDescent="0.3">
      <c r="E61" s="19"/>
      <c r="F61" s="20"/>
      <c r="G61" s="21"/>
      <c r="H61" s="21"/>
      <c r="I61" s="21"/>
    </row>
    <row r="62" spans="5:9" x14ac:dyDescent="0.3">
      <c r="E62" s="16"/>
      <c r="F62" s="17"/>
      <c r="G62" s="18"/>
      <c r="H62" s="18"/>
      <c r="I62" s="18"/>
    </row>
    <row r="63" spans="5:9" x14ac:dyDescent="0.3">
      <c r="E63" s="19"/>
      <c r="F63" s="20"/>
      <c r="G63" s="21"/>
      <c r="H63" s="21"/>
      <c r="I63" s="21"/>
    </row>
    <row r="64" spans="5:9" x14ac:dyDescent="0.3">
      <c r="E64" s="16"/>
      <c r="F64" s="17"/>
      <c r="G64" s="18"/>
      <c r="H64" s="18"/>
      <c r="I64" s="18"/>
    </row>
    <row r="65" spans="5:9" x14ac:dyDescent="0.3">
      <c r="E65" s="19"/>
      <c r="F65" s="20"/>
      <c r="G65" s="21"/>
      <c r="H65" s="21"/>
      <c r="I65" s="21"/>
    </row>
    <row r="66" spans="5:9" x14ac:dyDescent="0.3">
      <c r="E66" s="16"/>
      <c r="F66" s="17"/>
      <c r="G66" s="18"/>
      <c r="H66" s="18"/>
      <c r="I66" s="18"/>
    </row>
    <row r="67" spans="5:9" x14ac:dyDescent="0.3">
      <c r="E67" s="19"/>
      <c r="F67" s="20"/>
      <c r="G67" s="21"/>
      <c r="H67" s="21"/>
      <c r="I67" s="21"/>
    </row>
    <row r="68" spans="5:9" x14ac:dyDescent="0.3">
      <c r="E68" s="16"/>
      <c r="F68" s="17"/>
      <c r="G68" s="18"/>
      <c r="H68" s="18"/>
      <c r="I68" s="18"/>
    </row>
    <row r="69" spans="5:9" x14ac:dyDescent="0.3">
      <c r="E69" s="19"/>
      <c r="F69" s="20"/>
      <c r="G69" s="21"/>
      <c r="H69" s="21"/>
      <c r="I69" s="21"/>
    </row>
    <row r="70" spans="5:9" x14ac:dyDescent="0.3">
      <c r="E70" s="16"/>
      <c r="F70" s="17"/>
      <c r="G70" s="18"/>
      <c r="H70" s="18"/>
      <c r="I70" s="18"/>
    </row>
    <row r="71" spans="5:9" x14ac:dyDescent="0.3">
      <c r="E71" s="19"/>
      <c r="F71" s="20"/>
      <c r="G71" s="21"/>
      <c r="H71" s="21"/>
      <c r="I71" s="21"/>
    </row>
    <row r="72" spans="5:9" x14ac:dyDescent="0.3">
      <c r="E72" s="16"/>
      <c r="F72" s="17"/>
      <c r="G72" s="18"/>
      <c r="H72" s="18"/>
      <c r="I72" s="18"/>
    </row>
    <row r="73" spans="5:9" x14ac:dyDescent="0.3">
      <c r="E73" s="19"/>
      <c r="F73" s="20"/>
      <c r="G73" s="21"/>
      <c r="H73" s="21"/>
      <c r="I73" s="21"/>
    </row>
    <row r="74" spans="5:9" x14ac:dyDescent="0.3">
      <c r="E74" s="16"/>
      <c r="F74" s="17"/>
      <c r="G74" s="18"/>
      <c r="H74" s="18"/>
      <c r="I74" s="18"/>
    </row>
    <row r="75" spans="5:9" x14ac:dyDescent="0.3">
      <c r="E75" s="19"/>
      <c r="F75" s="20"/>
      <c r="G75" s="21"/>
      <c r="H75" s="21"/>
      <c r="I75" s="21"/>
    </row>
    <row r="76" spans="5:9" x14ac:dyDescent="0.3">
      <c r="E76" s="16"/>
      <c r="F76" s="17"/>
      <c r="G76" s="18"/>
      <c r="H76" s="18"/>
      <c r="I76" s="18"/>
    </row>
    <row r="77" spans="5:9" x14ac:dyDescent="0.3">
      <c r="E77" s="19"/>
      <c r="F77" s="20"/>
      <c r="G77" s="21"/>
      <c r="H77" s="21"/>
      <c r="I77" s="21"/>
    </row>
    <row r="78" spans="5:9" x14ac:dyDescent="0.3">
      <c r="E78" s="16"/>
      <c r="F78" s="17"/>
      <c r="G78" s="18"/>
      <c r="H78" s="18"/>
      <c r="I78" s="18"/>
    </row>
    <row r="79" spans="5:9" x14ac:dyDescent="0.3">
      <c r="E79" s="19"/>
      <c r="F79" s="20"/>
      <c r="G79" s="21"/>
      <c r="H79" s="21"/>
      <c r="I79" s="21"/>
    </row>
    <row r="80" spans="5:9" x14ac:dyDescent="0.3">
      <c r="E80" s="16"/>
      <c r="F80" s="17"/>
      <c r="G80" s="18"/>
      <c r="H80" s="18"/>
      <c r="I80" s="18"/>
    </row>
    <row r="81" spans="5:9" x14ac:dyDescent="0.3">
      <c r="E81" s="19"/>
      <c r="F81" s="20"/>
      <c r="G81" s="21"/>
      <c r="H81" s="21"/>
      <c r="I81" s="21"/>
    </row>
    <row r="82" spans="5:9" x14ac:dyDescent="0.3">
      <c r="E82" s="16"/>
      <c r="F82" s="17"/>
      <c r="G82" s="18"/>
      <c r="H82" s="18"/>
      <c r="I82" s="18"/>
    </row>
    <row r="83" spans="5:9" x14ac:dyDescent="0.3">
      <c r="E83" s="19"/>
      <c r="F83" s="20"/>
      <c r="G83" s="21"/>
      <c r="H83" s="21"/>
      <c r="I83" s="21"/>
    </row>
    <row r="84" spans="5:9" x14ac:dyDescent="0.3">
      <c r="E84" s="16"/>
      <c r="F84" s="17"/>
      <c r="G84" s="18"/>
      <c r="H84" s="18"/>
      <c r="I84" s="18"/>
    </row>
    <row r="85" spans="5:9" x14ac:dyDescent="0.3">
      <c r="E85" s="19"/>
      <c r="F85" s="20"/>
      <c r="G85" s="21"/>
      <c r="H85" s="21"/>
      <c r="I85" s="21"/>
    </row>
    <row r="86" spans="5:9" x14ac:dyDescent="0.3">
      <c r="E86" s="16"/>
      <c r="F86" s="17"/>
      <c r="G86" s="18"/>
      <c r="H86" s="18"/>
      <c r="I86" s="18"/>
    </row>
    <row r="87" spans="5:9" x14ac:dyDescent="0.3">
      <c r="E87" s="19"/>
      <c r="F87" s="20"/>
      <c r="G87" s="21"/>
      <c r="H87" s="21"/>
      <c r="I87" s="21"/>
    </row>
    <row r="88" spans="5:9" x14ac:dyDescent="0.3">
      <c r="E88" s="16"/>
      <c r="F88" s="17"/>
      <c r="G88" s="18"/>
      <c r="H88" s="18"/>
      <c r="I88" s="18"/>
    </row>
    <row r="89" spans="5:9" x14ac:dyDescent="0.3">
      <c r="E89" s="19"/>
      <c r="F89" s="20"/>
      <c r="G89" s="21"/>
      <c r="H89" s="21"/>
      <c r="I89" s="21"/>
    </row>
    <row r="90" spans="5:9" x14ac:dyDescent="0.3">
      <c r="E90" s="16"/>
      <c r="F90" s="17"/>
      <c r="G90" s="18"/>
      <c r="H90" s="18"/>
      <c r="I90" s="18"/>
    </row>
    <row r="91" spans="5:9" x14ac:dyDescent="0.3">
      <c r="E91" s="19"/>
      <c r="F91" s="20"/>
      <c r="G91" s="21"/>
      <c r="H91" s="21"/>
      <c r="I91" s="21"/>
    </row>
    <row r="92" spans="5:9" x14ac:dyDescent="0.3">
      <c r="E92" s="16"/>
      <c r="F92" s="17"/>
      <c r="G92" s="18"/>
      <c r="H92" s="18"/>
      <c r="I92" s="18"/>
    </row>
    <row r="93" spans="5:9" x14ac:dyDescent="0.3">
      <c r="E93" s="19"/>
      <c r="F93" s="20"/>
      <c r="G93" s="21"/>
      <c r="H93" s="21"/>
      <c r="I93" s="21"/>
    </row>
    <row r="94" spans="5:9" x14ac:dyDescent="0.3">
      <c r="E94" s="16"/>
      <c r="F94" s="17"/>
      <c r="G94" s="18"/>
      <c r="H94" s="18"/>
      <c r="I94" s="18"/>
    </row>
    <row r="95" spans="5:9" x14ac:dyDescent="0.3">
      <c r="E95" s="19"/>
      <c r="F95" s="20"/>
      <c r="G95" s="21"/>
      <c r="H95" s="21"/>
      <c r="I95" s="21"/>
    </row>
    <row r="96" spans="5:9" x14ac:dyDescent="0.3">
      <c r="E96" s="16"/>
      <c r="F96" s="17"/>
      <c r="G96" s="18"/>
      <c r="H96" s="18"/>
      <c r="I96" s="18"/>
    </row>
    <row r="97" spans="5:9" x14ac:dyDescent="0.3">
      <c r="E97" s="19"/>
      <c r="F97" s="20"/>
      <c r="G97" s="21"/>
      <c r="H97" s="21"/>
      <c r="I97" s="21"/>
    </row>
    <row r="98" spans="5:9" x14ac:dyDescent="0.3">
      <c r="E98" s="16"/>
      <c r="F98" s="17"/>
      <c r="G98" s="18"/>
      <c r="H98" s="18"/>
      <c r="I98" s="18"/>
    </row>
    <row r="99" spans="5:9" x14ac:dyDescent="0.3">
      <c r="E99" s="19"/>
      <c r="F99" s="20"/>
      <c r="G99" s="21"/>
      <c r="H99" s="21"/>
      <c r="I99" s="21"/>
    </row>
    <row r="100" spans="5:9" x14ac:dyDescent="0.3">
      <c r="E100" s="16"/>
      <c r="F100" s="17"/>
      <c r="G100" s="18"/>
      <c r="H100" s="18"/>
      <c r="I100" s="18"/>
    </row>
    <row r="101" spans="5:9" x14ac:dyDescent="0.3">
      <c r="E101" s="19"/>
      <c r="F101" s="20"/>
      <c r="G101" s="21"/>
      <c r="H101" s="21"/>
      <c r="I101" s="21"/>
    </row>
    <row r="102" spans="5:9" x14ac:dyDescent="0.3">
      <c r="E102" s="16"/>
      <c r="F102" s="17"/>
      <c r="G102" s="18"/>
      <c r="H102" s="18"/>
      <c r="I102" s="18"/>
    </row>
    <row r="103" spans="5:9" x14ac:dyDescent="0.3">
      <c r="E103" s="19"/>
      <c r="F103" s="20"/>
      <c r="G103" s="21"/>
      <c r="H103" s="21"/>
      <c r="I103" s="21"/>
    </row>
    <row r="104" spans="5:9" x14ac:dyDescent="0.3">
      <c r="E104" s="16"/>
      <c r="F104" s="17"/>
      <c r="G104" s="18"/>
      <c r="H104" s="18"/>
      <c r="I104" s="18"/>
    </row>
    <row r="105" spans="5:9" x14ac:dyDescent="0.3">
      <c r="E105" s="19"/>
      <c r="F105" s="20"/>
      <c r="G105" s="21"/>
      <c r="H105" s="21"/>
      <c r="I105" s="21"/>
    </row>
    <row r="106" spans="5:9" x14ac:dyDescent="0.3">
      <c r="E106" s="16"/>
      <c r="F106" s="17"/>
      <c r="G106" s="18"/>
      <c r="H106" s="18"/>
      <c r="I106" s="18"/>
    </row>
    <row r="107" spans="5:9" x14ac:dyDescent="0.3">
      <c r="E107" s="19"/>
      <c r="F107" s="20"/>
      <c r="G107" s="21"/>
      <c r="H107" s="21"/>
      <c r="I107" s="21"/>
    </row>
    <row r="108" spans="5:9" x14ac:dyDescent="0.3">
      <c r="E108" s="16"/>
      <c r="F108" s="17"/>
      <c r="G108" s="18"/>
      <c r="H108" s="18"/>
      <c r="I108" s="18"/>
    </row>
    <row r="109" spans="5:9" x14ac:dyDescent="0.3">
      <c r="E109" s="19"/>
      <c r="F109" s="20"/>
      <c r="G109" s="21"/>
      <c r="H109" s="21"/>
      <c r="I109" s="21"/>
    </row>
    <row r="110" spans="5:9" x14ac:dyDescent="0.3">
      <c r="E110" s="16"/>
      <c r="F110" s="17"/>
      <c r="G110" s="18"/>
      <c r="H110" s="18"/>
      <c r="I110" s="18"/>
    </row>
    <row r="111" spans="5:9" x14ac:dyDescent="0.3">
      <c r="E111" s="19"/>
      <c r="F111" s="20"/>
      <c r="G111" s="21"/>
      <c r="H111" s="21"/>
      <c r="I111" s="21"/>
    </row>
    <row r="112" spans="5:9" x14ac:dyDescent="0.3">
      <c r="E112" s="16"/>
      <c r="F112" s="17"/>
      <c r="G112" s="18"/>
      <c r="H112" s="18"/>
      <c r="I112" s="18"/>
    </row>
    <row r="113" spans="5:9" x14ac:dyDescent="0.3">
      <c r="E113" s="19"/>
      <c r="F113" s="20"/>
      <c r="G113" s="21"/>
      <c r="H113" s="21"/>
      <c r="I113" s="21"/>
    </row>
    <row r="114" spans="5:9" x14ac:dyDescent="0.3">
      <c r="E114" s="16"/>
      <c r="F114" s="17"/>
      <c r="G114" s="18"/>
      <c r="H114" s="18"/>
      <c r="I114" s="18"/>
    </row>
    <row r="115" spans="5:9" x14ac:dyDescent="0.3">
      <c r="E115" s="19"/>
      <c r="F115" s="20"/>
      <c r="G115" s="21"/>
      <c r="H115" s="21"/>
      <c r="I115" s="21"/>
    </row>
    <row r="116" spans="5:9" x14ac:dyDescent="0.3">
      <c r="E116" s="16"/>
      <c r="F116" s="17"/>
      <c r="G116" s="18"/>
      <c r="H116" s="18"/>
      <c r="I116" s="18"/>
    </row>
    <row r="117" spans="5:9" x14ac:dyDescent="0.3">
      <c r="E117" s="19"/>
      <c r="F117" s="20"/>
      <c r="G117" s="21"/>
      <c r="H117" s="21"/>
      <c r="I117" s="21"/>
    </row>
    <row r="118" spans="5:9" x14ac:dyDescent="0.3">
      <c r="E118" s="16"/>
      <c r="F118" s="17"/>
      <c r="G118" s="18"/>
      <c r="H118" s="18"/>
      <c r="I118" s="18"/>
    </row>
    <row r="119" spans="5:9" x14ac:dyDescent="0.3">
      <c r="E119" s="19"/>
      <c r="F119" s="20"/>
      <c r="G119" s="21"/>
      <c r="H119" s="21"/>
      <c r="I119" s="21"/>
    </row>
    <row r="120" spans="5:9" x14ac:dyDescent="0.3">
      <c r="E120" s="16"/>
      <c r="F120" s="17"/>
      <c r="G120" s="18"/>
      <c r="H120" s="18"/>
      <c r="I120" s="18"/>
    </row>
    <row r="121" spans="5:9" x14ac:dyDescent="0.3">
      <c r="E121" s="19"/>
      <c r="F121" s="20"/>
      <c r="G121" s="21"/>
      <c r="H121" s="21"/>
      <c r="I121" s="21"/>
    </row>
    <row r="122" spans="5:9" x14ac:dyDescent="0.3">
      <c r="E122" s="16"/>
      <c r="F122" s="17"/>
      <c r="G122" s="18"/>
      <c r="H122" s="18"/>
      <c r="I122" s="18"/>
    </row>
    <row r="123" spans="5:9" x14ac:dyDescent="0.3">
      <c r="E123" s="19"/>
      <c r="F123" s="20"/>
      <c r="G123" s="21"/>
      <c r="H123" s="21"/>
      <c r="I123" s="21"/>
    </row>
    <row r="124" spans="5:9" x14ac:dyDescent="0.3">
      <c r="E124" s="16"/>
      <c r="F124" s="17"/>
      <c r="G124" s="18"/>
      <c r="H124" s="18"/>
      <c r="I124" s="18"/>
    </row>
    <row r="125" spans="5:9" x14ac:dyDescent="0.3">
      <c r="E125" s="19"/>
      <c r="F125" s="20"/>
      <c r="G125" s="21"/>
      <c r="H125" s="21"/>
      <c r="I125" s="21"/>
    </row>
    <row r="126" spans="5:9" x14ac:dyDescent="0.3">
      <c r="E126" s="16"/>
      <c r="F126" s="17"/>
      <c r="G126" s="18"/>
      <c r="H126" s="18"/>
      <c r="I126" s="18"/>
    </row>
    <row r="127" spans="5:9" x14ac:dyDescent="0.3">
      <c r="E127" s="19"/>
      <c r="F127" s="20"/>
      <c r="G127" s="21"/>
      <c r="H127" s="21"/>
      <c r="I127" s="21"/>
    </row>
    <row r="128" spans="5:9" x14ac:dyDescent="0.3">
      <c r="E128" s="16"/>
      <c r="F128" s="17"/>
      <c r="G128" s="18"/>
      <c r="H128" s="18"/>
      <c r="I128" s="18"/>
    </row>
    <row r="129" spans="5:9" x14ac:dyDescent="0.3">
      <c r="E129" s="19"/>
      <c r="F129" s="20"/>
      <c r="G129" s="21"/>
      <c r="H129" s="21"/>
      <c r="I129" s="21"/>
    </row>
    <row r="130" spans="5:9" x14ac:dyDescent="0.3">
      <c r="E130" s="16"/>
      <c r="F130" s="17"/>
      <c r="G130" s="18"/>
      <c r="H130" s="18"/>
      <c r="I130" s="18"/>
    </row>
    <row r="131" spans="5:9" x14ac:dyDescent="0.3">
      <c r="E131" s="19"/>
      <c r="F131" s="20"/>
      <c r="G131" s="21"/>
      <c r="H131" s="21"/>
      <c r="I131" s="21"/>
    </row>
    <row r="132" spans="5:9" x14ac:dyDescent="0.3">
      <c r="E132" s="16"/>
      <c r="F132" s="17"/>
      <c r="G132" s="18"/>
      <c r="H132" s="18"/>
      <c r="I132" s="18"/>
    </row>
    <row r="133" spans="5:9" x14ac:dyDescent="0.3">
      <c r="E133" s="19"/>
      <c r="F133" s="20"/>
      <c r="G133" s="21"/>
      <c r="H133" s="21"/>
      <c r="I133" s="21"/>
    </row>
    <row r="134" spans="5:9" x14ac:dyDescent="0.3">
      <c r="E134" s="16"/>
      <c r="F134" s="17"/>
      <c r="G134" s="18"/>
      <c r="H134" s="18"/>
      <c r="I134" s="18"/>
    </row>
    <row r="135" spans="5:9" x14ac:dyDescent="0.3">
      <c r="E135" s="19"/>
      <c r="F135" s="20"/>
      <c r="G135" s="21"/>
      <c r="H135" s="21"/>
      <c r="I135" s="21"/>
    </row>
    <row r="136" spans="5:9" x14ac:dyDescent="0.3">
      <c r="E136" s="16"/>
      <c r="F136" s="17"/>
      <c r="G136" s="18"/>
      <c r="H136" s="18"/>
      <c r="I136" s="18"/>
    </row>
    <row r="137" spans="5:9" x14ac:dyDescent="0.3">
      <c r="E137" s="19"/>
      <c r="F137" s="20"/>
      <c r="G137" s="21"/>
      <c r="H137" s="21"/>
      <c r="I137" s="21"/>
    </row>
    <row r="138" spans="5:9" x14ac:dyDescent="0.3">
      <c r="E138" s="16"/>
      <c r="F138" s="17"/>
      <c r="G138" s="18"/>
      <c r="H138" s="18"/>
      <c r="I138" s="18"/>
    </row>
    <row r="139" spans="5:9" x14ac:dyDescent="0.3">
      <c r="E139" s="19"/>
      <c r="F139" s="20"/>
      <c r="G139" s="21"/>
      <c r="H139" s="21"/>
      <c r="I139" s="21"/>
    </row>
    <row r="140" spans="5:9" x14ac:dyDescent="0.3">
      <c r="E140" s="16"/>
      <c r="F140" s="17"/>
      <c r="G140" s="18"/>
      <c r="H140" s="18"/>
      <c r="I140" s="18"/>
    </row>
    <row r="141" spans="5:9" x14ac:dyDescent="0.3">
      <c r="E141" s="19"/>
      <c r="F141" s="20"/>
      <c r="G141" s="21"/>
      <c r="H141" s="21"/>
      <c r="I141" s="21"/>
    </row>
    <row r="142" spans="5:9" x14ac:dyDescent="0.3">
      <c r="E142" s="16"/>
      <c r="F142" s="17"/>
      <c r="G142" s="18"/>
      <c r="H142" s="18"/>
      <c r="I142" s="18"/>
    </row>
    <row r="143" spans="5:9" x14ac:dyDescent="0.3">
      <c r="E143" s="19"/>
      <c r="F143" s="20"/>
      <c r="G143" s="21"/>
      <c r="H143" s="21"/>
      <c r="I143" s="21"/>
    </row>
    <row r="144" spans="5:9" x14ac:dyDescent="0.3">
      <c r="E144" s="16"/>
      <c r="F144" s="17"/>
      <c r="G144" s="18"/>
      <c r="H144" s="18"/>
      <c r="I144" s="18"/>
    </row>
    <row r="145" spans="5:9" x14ac:dyDescent="0.3">
      <c r="E145" s="19"/>
      <c r="F145" s="20"/>
      <c r="G145" s="21"/>
      <c r="H145" s="21"/>
      <c r="I145" s="21"/>
    </row>
    <row r="146" spans="5:9" x14ac:dyDescent="0.3">
      <c r="E146" s="16"/>
      <c r="F146" s="17"/>
      <c r="G146" s="18"/>
      <c r="H146" s="18"/>
      <c r="I146" s="18"/>
    </row>
    <row r="147" spans="5:9" x14ac:dyDescent="0.3">
      <c r="E147" s="19"/>
      <c r="F147" s="20"/>
      <c r="G147" s="21"/>
      <c r="H147" s="21"/>
      <c r="I147" s="21"/>
    </row>
    <row r="148" spans="5:9" x14ac:dyDescent="0.3">
      <c r="E148" s="16"/>
      <c r="F148" s="17"/>
      <c r="G148" s="18"/>
      <c r="H148" s="18"/>
      <c r="I148" s="18"/>
    </row>
    <row r="149" spans="5:9" x14ac:dyDescent="0.3">
      <c r="E149" s="19"/>
      <c r="F149" s="20"/>
      <c r="G149" s="21"/>
      <c r="H149" s="21"/>
      <c r="I149" s="21"/>
    </row>
    <row r="150" spans="5:9" x14ac:dyDescent="0.3">
      <c r="E150" s="16"/>
      <c r="F150" s="17"/>
      <c r="G150" s="18"/>
      <c r="H150" s="18"/>
      <c r="I150" s="18"/>
    </row>
    <row r="151" spans="5:9" x14ac:dyDescent="0.3">
      <c r="E151" s="19"/>
      <c r="F151" s="20"/>
      <c r="G151" s="21"/>
      <c r="H151" s="21"/>
      <c r="I151" s="21"/>
    </row>
    <row r="152" spans="5:9" x14ac:dyDescent="0.3">
      <c r="E152" s="16"/>
      <c r="F152" s="17"/>
      <c r="G152" s="18"/>
      <c r="H152" s="18"/>
      <c r="I152" s="18"/>
    </row>
    <row r="153" spans="5:9" x14ac:dyDescent="0.3">
      <c r="E153" s="19"/>
      <c r="F153" s="20"/>
      <c r="G153" s="21"/>
      <c r="H153" s="21"/>
      <c r="I153" s="21"/>
    </row>
    <row r="154" spans="5:9" x14ac:dyDescent="0.3">
      <c r="E154" s="16"/>
      <c r="F154" s="17"/>
      <c r="G154" s="18"/>
      <c r="H154" s="18"/>
      <c r="I154" s="18"/>
    </row>
    <row r="155" spans="5:9" x14ac:dyDescent="0.3">
      <c r="E155" s="19"/>
      <c r="F155" s="20"/>
      <c r="G155" s="21"/>
      <c r="H155" s="21"/>
      <c r="I155" s="21"/>
    </row>
    <row r="156" spans="5:9" x14ac:dyDescent="0.3">
      <c r="E156" s="16"/>
      <c r="F156" s="17"/>
      <c r="G156" s="18"/>
      <c r="H156" s="18"/>
      <c r="I156" s="18"/>
    </row>
    <row r="157" spans="5:9" x14ac:dyDescent="0.3">
      <c r="E157" s="19"/>
      <c r="F157" s="20"/>
      <c r="G157" s="21"/>
      <c r="H157" s="21"/>
      <c r="I157" s="21"/>
    </row>
    <row r="158" spans="5:9" x14ac:dyDescent="0.3">
      <c r="E158" s="16"/>
      <c r="F158" s="17"/>
      <c r="G158" s="18"/>
      <c r="H158" s="18"/>
      <c r="I158" s="18"/>
    </row>
    <row r="159" spans="5:9" x14ac:dyDescent="0.3">
      <c r="E159" s="19"/>
      <c r="F159" s="20"/>
      <c r="G159" s="21"/>
      <c r="H159" s="21"/>
      <c r="I159" s="21"/>
    </row>
    <row r="160" spans="5:9" x14ac:dyDescent="0.3">
      <c r="E160" s="16"/>
      <c r="F160" s="17"/>
      <c r="G160" s="18"/>
      <c r="H160" s="18"/>
      <c r="I160" s="18"/>
    </row>
    <row r="161" spans="5:9" x14ac:dyDescent="0.3">
      <c r="E161" s="19"/>
      <c r="F161" s="20"/>
      <c r="G161" s="21"/>
      <c r="H161" s="21"/>
      <c r="I161" s="21"/>
    </row>
    <row r="162" spans="5:9" x14ac:dyDescent="0.3">
      <c r="E162" s="16"/>
      <c r="F162" s="17"/>
      <c r="G162" s="18"/>
      <c r="H162" s="18"/>
      <c r="I162" s="18"/>
    </row>
    <row r="163" spans="5:9" x14ac:dyDescent="0.3">
      <c r="E163" s="19"/>
      <c r="F163" s="20"/>
      <c r="G163" s="21"/>
      <c r="H163" s="21"/>
      <c r="I163" s="21"/>
    </row>
    <row r="164" spans="5:9" x14ac:dyDescent="0.3">
      <c r="E164" s="16"/>
      <c r="F164" s="17"/>
      <c r="G164" s="18"/>
      <c r="H164" s="18"/>
      <c r="I164" s="18"/>
    </row>
    <row r="165" spans="5:9" x14ac:dyDescent="0.3">
      <c r="E165" s="19"/>
      <c r="F165" s="20"/>
      <c r="G165" s="21"/>
      <c r="H165" s="21"/>
      <c r="I165" s="21"/>
    </row>
    <row r="166" spans="5:9" x14ac:dyDescent="0.3">
      <c r="E166" s="16"/>
      <c r="F166" s="17"/>
      <c r="G166" s="18"/>
      <c r="H166" s="18"/>
      <c r="I166" s="18"/>
    </row>
    <row r="167" spans="5:9" x14ac:dyDescent="0.3">
      <c r="E167" s="19"/>
      <c r="F167" s="20"/>
      <c r="G167" s="21"/>
      <c r="H167" s="21"/>
      <c r="I167" s="21"/>
    </row>
    <row r="168" spans="5:9" x14ac:dyDescent="0.3">
      <c r="E168" s="16"/>
      <c r="F168" s="17"/>
      <c r="G168" s="18"/>
      <c r="H168" s="18"/>
      <c r="I168" s="18"/>
    </row>
    <row r="169" spans="5:9" x14ac:dyDescent="0.3">
      <c r="E169" s="19"/>
      <c r="F169" s="20"/>
      <c r="G169" s="21"/>
      <c r="H169" s="21"/>
      <c r="I169" s="21"/>
    </row>
    <row r="170" spans="5:9" x14ac:dyDescent="0.3">
      <c r="E170" s="16"/>
      <c r="F170" s="17"/>
      <c r="G170" s="18"/>
      <c r="H170" s="18"/>
      <c r="I170" s="18"/>
    </row>
    <row r="171" spans="5:9" x14ac:dyDescent="0.3">
      <c r="E171" s="19"/>
      <c r="F171" s="20"/>
      <c r="G171" s="21"/>
      <c r="H171" s="21"/>
      <c r="I171" s="21"/>
    </row>
    <row r="172" spans="5:9" x14ac:dyDescent="0.3">
      <c r="E172" s="16"/>
      <c r="F172" s="17"/>
      <c r="G172" s="18"/>
      <c r="H172" s="18"/>
      <c r="I172" s="18"/>
    </row>
    <row r="173" spans="5:9" x14ac:dyDescent="0.3">
      <c r="E173" s="19"/>
      <c r="F173" s="20"/>
      <c r="G173" s="21"/>
      <c r="H173" s="21"/>
      <c r="I173" s="21"/>
    </row>
    <row r="174" spans="5:9" x14ac:dyDescent="0.3">
      <c r="E174" s="16"/>
      <c r="F174" s="17"/>
      <c r="G174" s="18"/>
      <c r="H174" s="18"/>
      <c r="I174" s="18"/>
    </row>
    <row r="175" spans="5:9" x14ac:dyDescent="0.3">
      <c r="E175" s="19"/>
      <c r="F175" s="20"/>
      <c r="G175" s="21"/>
      <c r="H175" s="21"/>
      <c r="I175" s="21"/>
    </row>
    <row r="176" spans="5:9" x14ac:dyDescent="0.3">
      <c r="E176" s="16"/>
      <c r="F176" s="17"/>
      <c r="G176" s="18"/>
      <c r="H176" s="18"/>
      <c r="I176" s="18"/>
    </row>
    <row r="177" spans="5:9" x14ac:dyDescent="0.3">
      <c r="E177" s="19"/>
      <c r="F177" s="20"/>
      <c r="G177" s="21"/>
      <c r="H177" s="21"/>
      <c r="I177" s="21"/>
    </row>
    <row r="178" spans="5:9" x14ac:dyDescent="0.3">
      <c r="E178" s="16"/>
      <c r="F178" s="17"/>
      <c r="G178" s="18"/>
      <c r="H178" s="18"/>
      <c r="I178" s="18"/>
    </row>
    <row r="179" spans="5:9" x14ac:dyDescent="0.3">
      <c r="E179" s="19"/>
      <c r="F179" s="20"/>
      <c r="G179" s="21"/>
      <c r="H179" s="21"/>
      <c r="I179" s="21"/>
    </row>
    <row r="180" spans="5:9" x14ac:dyDescent="0.3">
      <c r="E180" s="16"/>
      <c r="F180" s="17"/>
      <c r="G180" s="18"/>
      <c r="H180" s="18"/>
      <c r="I180" s="18"/>
    </row>
    <row r="181" spans="5:9" x14ac:dyDescent="0.3">
      <c r="E181" s="19"/>
      <c r="F181" s="20"/>
      <c r="G181" s="21"/>
      <c r="H181" s="21"/>
      <c r="I181" s="21"/>
    </row>
    <row r="182" spans="5:9" x14ac:dyDescent="0.3">
      <c r="E182" s="16"/>
      <c r="F182" s="17"/>
      <c r="G182" s="18"/>
      <c r="H182" s="18"/>
      <c r="I182" s="18"/>
    </row>
    <row r="183" spans="5:9" x14ac:dyDescent="0.3">
      <c r="E183" s="19"/>
      <c r="F183" s="20"/>
      <c r="G183" s="21"/>
      <c r="H183" s="21"/>
      <c r="I183" s="21"/>
    </row>
    <row r="184" spans="5:9" x14ac:dyDescent="0.3">
      <c r="E184" s="16"/>
      <c r="F184" s="17"/>
      <c r="G184" s="18"/>
      <c r="H184" s="18"/>
      <c r="I184" s="18"/>
    </row>
    <row r="185" spans="5:9" x14ac:dyDescent="0.3">
      <c r="E185" s="19"/>
      <c r="F185" s="20"/>
      <c r="G185" s="21"/>
      <c r="H185" s="21"/>
      <c r="I185" s="21"/>
    </row>
    <row r="186" spans="5:9" x14ac:dyDescent="0.3">
      <c r="E186" s="16"/>
      <c r="F186" s="17"/>
      <c r="G186" s="18"/>
      <c r="H186" s="18"/>
      <c r="I186" s="18"/>
    </row>
    <row r="187" spans="5:9" x14ac:dyDescent="0.3">
      <c r="E187" s="19"/>
      <c r="F187" s="20"/>
      <c r="G187" s="21"/>
      <c r="H187" s="21"/>
      <c r="I187" s="21"/>
    </row>
    <row r="188" spans="5:9" x14ac:dyDescent="0.3">
      <c r="E188" s="16"/>
      <c r="F188" s="17"/>
      <c r="G188" s="18"/>
      <c r="H188" s="18"/>
      <c r="I188" s="18"/>
    </row>
    <row r="189" spans="5:9" x14ac:dyDescent="0.3">
      <c r="E189" s="19"/>
      <c r="F189" s="20"/>
      <c r="G189" s="21"/>
      <c r="H189" s="21"/>
      <c r="I189" s="21"/>
    </row>
    <row r="190" spans="5:9" x14ac:dyDescent="0.3">
      <c r="E190" s="16"/>
      <c r="F190" s="17"/>
      <c r="G190" s="18"/>
      <c r="H190" s="18"/>
      <c r="I190" s="18"/>
    </row>
    <row r="191" spans="5:9" x14ac:dyDescent="0.3">
      <c r="E191" s="19"/>
      <c r="F191" s="20"/>
      <c r="G191" s="21"/>
      <c r="H191" s="21"/>
      <c r="I191" s="21"/>
    </row>
    <row r="192" spans="5:9" x14ac:dyDescent="0.3">
      <c r="E192" s="16"/>
      <c r="F192" s="17"/>
      <c r="G192" s="18"/>
      <c r="H192" s="18"/>
      <c r="I192" s="18"/>
    </row>
    <row r="193" spans="5:9" x14ac:dyDescent="0.3">
      <c r="E193" s="19"/>
      <c r="F193" s="20"/>
      <c r="G193" s="21"/>
      <c r="H193" s="21"/>
      <c r="I193" s="21"/>
    </row>
    <row r="194" spans="5:9" x14ac:dyDescent="0.3">
      <c r="E194" s="16"/>
      <c r="F194" s="17"/>
      <c r="G194" s="18"/>
      <c r="H194" s="18"/>
      <c r="I194" s="18"/>
    </row>
    <row r="195" spans="5:9" x14ac:dyDescent="0.3">
      <c r="E195" s="19"/>
      <c r="F195" s="20"/>
      <c r="G195" s="21"/>
      <c r="H195" s="21"/>
      <c r="I195" s="21"/>
    </row>
    <row r="196" spans="5:9" x14ac:dyDescent="0.3">
      <c r="E196" s="16"/>
      <c r="F196" s="17"/>
      <c r="G196" s="18"/>
      <c r="H196" s="18"/>
      <c r="I196" s="18"/>
    </row>
    <row r="197" spans="5:9" x14ac:dyDescent="0.3">
      <c r="E197" s="19"/>
      <c r="F197" s="20"/>
      <c r="G197" s="21"/>
      <c r="H197" s="21"/>
      <c r="I197" s="21"/>
    </row>
    <row r="198" spans="5:9" x14ac:dyDescent="0.3">
      <c r="E198" s="16"/>
      <c r="F198" s="17"/>
      <c r="G198" s="18"/>
      <c r="H198" s="18"/>
      <c r="I198" s="18"/>
    </row>
    <row r="199" spans="5:9" x14ac:dyDescent="0.3">
      <c r="E199" s="19"/>
      <c r="F199" s="20"/>
      <c r="G199" s="21"/>
      <c r="H199" s="21"/>
      <c r="I199" s="21"/>
    </row>
    <row r="200" spans="5:9" x14ac:dyDescent="0.3">
      <c r="E200" s="16"/>
      <c r="F200" s="17"/>
      <c r="G200" s="18"/>
      <c r="H200" s="18"/>
      <c r="I200" s="18"/>
    </row>
  </sheetData>
  <mergeCells count="9">
    <mergeCell ref="E1:I1"/>
    <mergeCell ref="E5:I5"/>
    <mergeCell ref="E14:I14"/>
    <mergeCell ref="E7:G7"/>
    <mergeCell ref="E16:I16"/>
    <mergeCell ref="E8:G8"/>
    <mergeCell ref="E6:G6"/>
    <mergeCell ref="E11:I11"/>
    <mergeCell ref="E9:G9"/>
  </mergeCells>
  <conditionalFormatting sqref="G13">
    <cfRule type="cellIs" dxfId="0" priority="1" operator="lessThan">
      <formula>0</formula>
    </cfRule>
  </conditionalFormatting>
  <dataValidations count="2">
    <dataValidation type="list" allowBlank="1" sqref="G18:G200 I26" xr:uid="{00000000-0002-0000-0100-000000000000}">
      <formula1>"Moradia,Alimentação,Transporte,Saúde,Lazer,Educação,Contas (luz/água/internet),Mercado,Assinaturas,Filhos/Pets,Vestuário,Outros"</formula1>
    </dataValidation>
    <dataValidation type="list" allowBlank="1" sqref="H18:H200" xr:uid="{00000000-0002-0000-0100-000001000000}">
      <formula1>"Gabriel,Beatriz,Os dois"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CAE3-51CD-45E3-9A9F-804BF5E1D4D3}">
  <dimension ref="H3:N26"/>
  <sheetViews>
    <sheetView showGridLines="0" topLeftCell="A2" workbookViewId="0">
      <selection activeCell="M6" sqref="M6:M7"/>
    </sheetView>
  </sheetViews>
  <sheetFormatPr defaultRowHeight="14.4" x14ac:dyDescent="0.3"/>
  <cols>
    <col min="8" max="8" width="20.33203125" customWidth="1"/>
    <col min="9" max="9" width="24.21875" bestFit="1" customWidth="1"/>
    <col min="10" max="10" width="13.5546875" bestFit="1" customWidth="1"/>
    <col min="11" max="11" width="30.44140625" bestFit="1" customWidth="1"/>
    <col min="14" max="14" width="11.88671875" bestFit="1" customWidth="1"/>
  </cols>
  <sheetData>
    <row r="3" spans="8:14" ht="23.4" x14ac:dyDescent="0.45">
      <c r="H3" s="59" t="s">
        <v>66</v>
      </c>
      <c r="I3" s="59"/>
    </row>
    <row r="5" spans="8:14" x14ac:dyDescent="0.3">
      <c r="H5" s="15" t="s">
        <v>45</v>
      </c>
      <c r="I5" s="15" t="s">
        <v>9</v>
      </c>
      <c r="J5" s="15" t="s">
        <v>46</v>
      </c>
      <c r="K5" s="15" t="s">
        <v>47</v>
      </c>
    </row>
    <row r="6" spans="8:14" x14ac:dyDescent="0.3">
      <c r="H6" s="17">
        <v>1500</v>
      </c>
      <c r="I6" s="18" t="s">
        <v>12</v>
      </c>
      <c r="J6" s="18" t="s">
        <v>26</v>
      </c>
      <c r="K6" s="18" t="s">
        <v>48</v>
      </c>
    </row>
    <row r="7" spans="8:14" x14ac:dyDescent="0.3">
      <c r="H7" s="20">
        <v>300</v>
      </c>
      <c r="I7" s="21" t="s">
        <v>18</v>
      </c>
      <c r="J7" s="21" t="s">
        <v>26</v>
      </c>
      <c r="K7" s="21" t="s">
        <v>49</v>
      </c>
    </row>
    <row r="8" spans="8:14" x14ac:dyDescent="0.3">
      <c r="H8" s="17">
        <v>200</v>
      </c>
      <c r="I8" s="18" t="s">
        <v>18</v>
      </c>
      <c r="J8" s="18" t="s">
        <v>26</v>
      </c>
      <c r="K8" s="18" t="s">
        <v>50</v>
      </c>
    </row>
    <row r="9" spans="8:14" x14ac:dyDescent="0.3">
      <c r="H9" s="20">
        <v>1600</v>
      </c>
      <c r="I9" s="21" t="s">
        <v>14</v>
      </c>
      <c r="J9" s="21" t="s">
        <v>26</v>
      </c>
      <c r="K9" s="21" t="s">
        <v>51</v>
      </c>
      <c r="N9" s="60"/>
    </row>
    <row r="10" spans="8:14" x14ac:dyDescent="0.3">
      <c r="H10" s="17">
        <v>500</v>
      </c>
      <c r="I10" s="18" t="s">
        <v>14</v>
      </c>
      <c r="J10" s="18" t="s">
        <v>26</v>
      </c>
      <c r="K10" s="18" t="s">
        <v>52</v>
      </c>
      <c r="N10" s="61"/>
    </row>
    <row r="11" spans="8:14" x14ac:dyDescent="0.3">
      <c r="H11" s="20">
        <v>1200</v>
      </c>
      <c r="I11" s="21" t="s">
        <v>53</v>
      </c>
      <c r="J11" s="21" t="s">
        <v>26</v>
      </c>
      <c r="K11" s="21" t="s">
        <v>54</v>
      </c>
      <c r="N11" s="61"/>
    </row>
    <row r="12" spans="8:14" x14ac:dyDescent="0.3">
      <c r="H12" s="17">
        <v>380</v>
      </c>
      <c r="I12" s="18" t="s">
        <v>17</v>
      </c>
      <c r="J12" s="18" t="s">
        <v>26</v>
      </c>
      <c r="K12" s="18" t="s">
        <v>55</v>
      </c>
      <c r="N12" s="61"/>
    </row>
    <row r="13" spans="8:14" x14ac:dyDescent="0.3">
      <c r="H13" s="20">
        <v>400</v>
      </c>
      <c r="I13" s="21" t="s">
        <v>56</v>
      </c>
      <c r="J13" s="21" t="s">
        <v>26</v>
      </c>
      <c r="K13" s="21" t="s">
        <v>57</v>
      </c>
      <c r="N13" s="61"/>
    </row>
    <row r="14" spans="8:14" x14ac:dyDescent="0.3">
      <c r="H14" s="17">
        <v>150</v>
      </c>
      <c r="I14" s="18" t="s">
        <v>22</v>
      </c>
      <c r="J14" s="18" t="s">
        <v>26</v>
      </c>
      <c r="K14" s="18" t="s">
        <v>58</v>
      </c>
      <c r="N14" s="61"/>
    </row>
    <row r="15" spans="8:14" x14ac:dyDescent="0.3">
      <c r="H15" s="20">
        <v>120</v>
      </c>
      <c r="I15" s="21" t="s">
        <v>18</v>
      </c>
      <c r="J15" s="21" t="s">
        <v>26</v>
      </c>
      <c r="K15" s="21" t="s">
        <v>59</v>
      </c>
      <c r="N15" s="61"/>
    </row>
    <row r="16" spans="8:14" x14ac:dyDescent="0.3">
      <c r="H16" s="17">
        <v>100</v>
      </c>
      <c r="I16" s="18" t="s">
        <v>14</v>
      </c>
      <c r="J16" s="18" t="s">
        <v>26</v>
      </c>
      <c r="K16" s="18" t="s">
        <v>60</v>
      </c>
      <c r="N16" s="61"/>
    </row>
    <row r="17" spans="8:14" x14ac:dyDescent="0.3">
      <c r="H17" s="20">
        <v>320</v>
      </c>
      <c r="I17" s="21" t="s">
        <v>15</v>
      </c>
      <c r="J17" s="21" t="s">
        <v>26</v>
      </c>
      <c r="K17" s="21" t="s">
        <v>61</v>
      </c>
      <c r="N17" s="61"/>
    </row>
    <row r="18" spans="8:14" x14ac:dyDescent="0.3">
      <c r="H18" s="17">
        <v>300</v>
      </c>
      <c r="I18" s="18" t="s">
        <v>16</v>
      </c>
      <c r="J18" s="18" t="s">
        <v>26</v>
      </c>
      <c r="K18" s="18" t="s">
        <v>63</v>
      </c>
      <c r="N18" s="61"/>
    </row>
    <row r="19" spans="8:14" x14ac:dyDescent="0.3">
      <c r="H19" s="20">
        <v>50</v>
      </c>
      <c r="I19" s="21" t="s">
        <v>15</v>
      </c>
      <c r="J19" s="21" t="s">
        <v>26</v>
      </c>
      <c r="K19" s="21" t="s">
        <v>62</v>
      </c>
      <c r="N19" s="61"/>
    </row>
    <row r="20" spans="8:14" x14ac:dyDescent="0.3">
      <c r="H20" s="17">
        <v>400</v>
      </c>
      <c r="I20" s="18" t="s">
        <v>64</v>
      </c>
      <c r="J20" s="18" t="s">
        <v>26</v>
      </c>
      <c r="K20" s="18" t="s">
        <v>65</v>
      </c>
      <c r="N20" s="61"/>
    </row>
    <row r="21" spans="8:14" x14ac:dyDescent="0.3">
      <c r="N21" s="61"/>
    </row>
    <row r="22" spans="8:14" x14ac:dyDescent="0.3">
      <c r="N22" s="61"/>
    </row>
    <row r="23" spans="8:14" x14ac:dyDescent="0.3">
      <c r="N23" s="61"/>
    </row>
    <row r="24" spans="8:14" x14ac:dyDescent="0.3">
      <c r="N24" s="61"/>
    </row>
    <row r="25" spans="8:14" x14ac:dyDescent="0.3">
      <c r="N25" s="60"/>
    </row>
    <row r="26" spans="8:14" x14ac:dyDescent="0.3">
      <c r="N26" s="60"/>
    </row>
  </sheetData>
  <mergeCells count="1">
    <mergeCell ref="H3:I3"/>
  </mergeCells>
  <dataValidations count="2">
    <dataValidation type="list" allowBlank="1" sqref="J6:J20" xr:uid="{22510A1B-C2C4-4562-9273-4C9FC65902D8}">
      <formula1>"Gabriel,Beatriz,Os dois"</formula1>
    </dataValidation>
    <dataValidation type="list" allowBlank="1" sqref="I6:I20 K14" xr:uid="{13BB9F22-C79A-441B-BD6C-50D548D5AF96}">
      <formula1>"Moradia,Alimentação,Transporte,Saúde,Lazer,Educação,Contas (luz/água/internet),Mercado,Assinaturas,Filhos/Pets,Vestuário,Outros"</formula1>
    </dataValidation>
  </dataValidation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3c5ac6-10e8-4d2e-884b-d30a1ecf80dc}" enabled="0" method="" siteId="{263c5ac6-10e8-4d2e-884b-d30a1ecf80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Contas Fixas</vt:lpstr>
      <vt:lpstr>Meu Mês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Ryan Rodrigues Barbosa</cp:lastModifiedBy>
  <cp:revision/>
  <dcterms:created xsi:type="dcterms:W3CDTF">2026-09-02T19:47:28Z</dcterms:created>
  <dcterms:modified xsi:type="dcterms:W3CDTF">2026-10-07T12:48:31Z</dcterms:modified>
  <cp:category/>
  <cp:contentStatus/>
</cp:coreProperties>
</file>